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Kim_Kay" sheetId="1" state="visible" r:id="rId1"/>
    <sheet name="Arthur_LeGrand" sheetId="2" state="visible" r:id="rId2"/>
    <sheet name="Titan_Hawk" sheetId="3" state="visible" r:id="rId3"/>
    <sheet name="Dashboard" sheetId="4" state="visible" r:id="rId4"/>
  </sheets>
  <definedNames>
    <definedName name="_xlnm._FilterDatabase" localSheetId="0" hidden="1">'Kim_Kay'!$A$1:$D$91</definedName>
    <definedName name="_xlnm._FilterDatabase" localSheetId="1" hidden="1">'Arthur_LeGrand'!$A$1:$E$1</definedName>
    <definedName name="_xlnm._FilterDatabase" localSheetId="2" hidden="1">'Titan_Hawk'!$A$1:$D$92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79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8"/>
      <scheme val="minor"/>
    </font>
    <font>
      <name val="Aptos Narrow"/>
      <family val="2"/>
      <color rgb="FFFF0000"/>
      <sz val="11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rgb="FFFFFFFF"/>
      <sz val="11"/>
      <scheme val="minor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 Narrow"/>
      <family val="2"/>
      <color theme="2" tint="-0.09997863704336681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family val="2"/>
      <color rgb="FF0000FF"/>
      <sz val="11"/>
    </font>
    <font>
      <name val="Arial"/>
      <family val="2"/>
      <color rgb="FF0000FF"/>
      <sz val="10"/>
    </font>
    <font>
      <name val="Calibri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rgb="FFFF0000"/>
      <sz val="11"/>
    </font>
    <font>
      <name val="Aptos Narrow"/>
      <family val="2"/>
      <color rgb="FF9900FF"/>
      <sz val="11"/>
    </font>
    <font>
      <name val="Arial"/>
      <family val="2"/>
      <color rgb="FF9900FF"/>
      <sz val="11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theme="2" tint="-0.09997863704336681"/>
      <sz val="11"/>
    </font>
    <font>
      <name val="Arial"/>
      <family val="2"/>
      <color theme="2" tint="-0.09997863704336681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family val="2"/>
      <b val="1"/>
      <color theme="1"/>
      <sz val="11"/>
      <scheme val="minor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0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008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name val="Aptos Narrow"/>
      <color rgb="FF008000"/>
      <sz val="11"/>
    </font>
    <font>
      <name val="Aptos Narrow"/>
      <color rgb="FF000000"/>
      <sz val="11"/>
    </font>
    <font>
      <name val="Aptos Narrow"/>
      <color rgb="FFFF0000"/>
      <sz val="11"/>
    </font>
    <font>
      <color rgb="00000000"/>
    </font>
    <font>
      <color rgb="00FF0000"/>
    </font>
    <font>
      <color rgb="00008000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7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fill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6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" fillId="0" borderId="1" applyAlignment="1" pivotButton="0" quotePrefix="0" xfId="0">
      <alignment horizontal="fill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8" fillId="7" borderId="7" applyAlignment="1" pivotButton="0" quotePrefix="0" xfId="0">
      <alignment horizontal="fill" wrapText="1"/>
    </xf>
    <xf numFmtId="0" fontId="28" fillId="8" borderId="7" applyAlignment="1" pivotButton="0" quotePrefix="0" xfId="0">
      <alignment horizontal="fill" wrapText="1"/>
    </xf>
    <xf numFmtId="0" fontId="28" fillId="9" borderId="7" applyAlignment="1" pivotButton="0" quotePrefix="0" xfId="0">
      <alignment horizontal="fill" wrapText="1"/>
    </xf>
    <xf numFmtId="0" fontId="28" fillId="10" borderId="7" applyAlignment="1" pivotButton="0" quotePrefix="0" xfId="0">
      <alignment horizontal="fill" wrapText="1"/>
    </xf>
    <xf numFmtId="0" fontId="23" fillId="10" borderId="7" applyAlignment="1" pivotButton="0" quotePrefix="0" xfId="0">
      <alignment horizontal="fill" vertical="center" wrapText="1"/>
    </xf>
    <xf numFmtId="0" fontId="23" fillId="8" borderId="7" applyAlignment="1" pivotButton="0" quotePrefix="0" xfId="0">
      <alignment horizontal="fill" vertical="center" wrapText="1"/>
    </xf>
    <xf numFmtId="0" fontId="21" fillId="8" borderId="7" applyAlignment="1" pivotButton="0" quotePrefix="0" xfId="0">
      <alignment horizontal="fill" vertical="center" wrapText="1"/>
    </xf>
    <xf numFmtId="0" fontId="21" fillId="7" borderId="7" applyAlignment="1" pivotButton="0" quotePrefix="0" xfId="0">
      <alignment horizontal="fill" vertical="center" wrapText="1"/>
    </xf>
    <xf numFmtId="0" fontId="21" fillId="10" borderId="7" applyAlignment="1" pivotButton="0" quotePrefix="0" xfId="0">
      <alignment horizontal="fill" vertical="center" wrapText="1"/>
    </xf>
    <xf numFmtId="0" fontId="22" fillId="5" borderId="7" applyAlignment="1" pivotButton="0" quotePrefix="0" xfId="0">
      <alignment horizontal="fill" vertical="center" wrapText="1"/>
    </xf>
    <xf numFmtId="0" fontId="22" fillId="6" borderId="7" applyAlignment="1" pivotButton="0" quotePrefix="0" xfId="0">
      <alignment horizontal="fill" vertical="center" wrapText="1"/>
    </xf>
    <xf numFmtId="0" fontId="24" fillId="6" borderId="7" applyAlignment="1" pivotButton="0" quotePrefix="0" xfId="0">
      <alignment horizontal="fill" vertical="center" wrapText="1"/>
    </xf>
    <xf numFmtId="0" fontId="26" fillId="6" borderId="7" applyAlignment="1" pivotButton="0" quotePrefix="0" xfId="0">
      <alignment horizontal="fill" vertical="center" wrapText="1"/>
    </xf>
    <xf numFmtId="0" fontId="29" fillId="9" borderId="7" applyAlignment="1" pivotButton="0" quotePrefix="0" xfId="0">
      <alignment horizontal="fill" wrapText="1"/>
    </xf>
    <xf numFmtId="0" fontId="29" fillId="8" borderId="7" applyAlignment="1" pivotButton="0" quotePrefix="0" xfId="0">
      <alignment horizontal="fill" wrapText="1"/>
    </xf>
    <xf numFmtId="0" fontId="30" fillId="0" borderId="7" applyAlignment="1" pivotButton="0" quotePrefix="0" xfId="0">
      <alignment horizontal="center" wrapText="1"/>
    </xf>
    <xf numFmtId="0" fontId="4" fillId="0" borderId="7" applyAlignment="1" pivotButton="0" quotePrefix="0" xfId="0">
      <alignment horizontal="center" wrapText="1"/>
    </xf>
    <xf numFmtId="0" fontId="21" fillId="6" borderId="7" applyAlignment="1" pivotButton="0" quotePrefix="0" xfId="0">
      <alignment horizontal="center" vertical="center" wrapText="1"/>
    </xf>
    <xf numFmtId="0" fontId="25" fillId="6" borderId="7" applyAlignment="1" pivotButton="0" quotePrefix="0" xfId="0">
      <alignment horizontal="center" vertical="center" wrapText="1"/>
    </xf>
    <xf numFmtId="0" fontId="31" fillId="5" borderId="7" applyAlignment="1" pivotButton="0" quotePrefix="0" xfId="0">
      <alignment horizontal="center" wrapText="1"/>
    </xf>
    <xf numFmtId="0" fontId="31" fillId="0" borderId="7" applyAlignment="1" pivotButton="0" quotePrefix="0" xfId="0">
      <alignment horizontal="center" wrapText="1"/>
    </xf>
    <xf numFmtId="0" fontId="27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horizontal="fill" wrapText="1"/>
    </xf>
    <xf numFmtId="0" fontId="24" fillId="0" borderId="7" applyAlignment="1" pivotButton="0" quotePrefix="0" xfId="0">
      <alignment horizontal="fill" wrapText="1"/>
    </xf>
    <xf numFmtId="0" fontId="26" fillId="0" borderId="7" applyAlignment="1" pivotButton="0" quotePrefix="0" xfId="0">
      <alignment horizontal="fill" wrapText="1"/>
    </xf>
    <xf numFmtId="0" fontId="29" fillId="7" borderId="7" applyAlignment="1" pivotButton="0" quotePrefix="0" xfId="0">
      <alignment horizontal="fill" wrapText="1"/>
    </xf>
    <xf numFmtId="0" fontId="32" fillId="0" borderId="7" applyAlignment="1" pivotButton="0" quotePrefix="0" xfId="0">
      <alignment horizontal="fill" vertical="center" wrapText="1"/>
    </xf>
    <xf numFmtId="0" fontId="32" fillId="6" borderId="7" applyAlignment="1" pivotButton="0" quotePrefix="0" xfId="0">
      <alignment horizontal="fill" vertical="center" wrapText="1"/>
    </xf>
    <xf numFmtId="0" fontId="33" fillId="0" borderId="7" applyAlignment="1" pivotButton="0" quotePrefix="0" xfId="0">
      <alignment horizontal="fill" wrapText="1"/>
    </xf>
    <xf numFmtId="0" fontId="11" fillId="7" borderId="7" applyAlignment="1" pivotButton="0" quotePrefix="0" xfId="0">
      <alignment horizontal="fill" wrapText="1"/>
    </xf>
    <xf numFmtId="0" fontId="11" fillId="8" borderId="7" applyAlignment="1" pivotButton="0" quotePrefix="0" xfId="0">
      <alignment horizontal="fill" wrapText="1"/>
    </xf>
    <xf numFmtId="0" fontId="11" fillId="9" borderId="7" applyAlignment="1" pivotButton="0" quotePrefix="0" xfId="0">
      <alignment horizontal="fill" wrapText="1"/>
    </xf>
    <xf numFmtId="0" fontId="11" fillId="10" borderId="7" applyAlignment="1" pivotButton="0" quotePrefix="0" xfId="0">
      <alignment horizontal="fill" wrapText="1"/>
    </xf>
    <xf numFmtId="0" fontId="32" fillId="10" borderId="7" applyAlignment="1" pivotButton="0" quotePrefix="0" xfId="0">
      <alignment horizontal="fill" vertical="center" wrapText="1"/>
    </xf>
    <xf numFmtId="0" fontId="32" fillId="8" borderId="7" applyAlignment="1" pivotButton="0" quotePrefix="0" xfId="0">
      <alignment horizontal="fill" vertical="center" wrapText="1"/>
    </xf>
    <xf numFmtId="0" fontId="32" fillId="7" borderId="7" applyAlignment="1" pivotButton="0" quotePrefix="0" xfId="0">
      <alignment horizontal="fill" vertical="center" wrapText="1"/>
    </xf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51" fillId="0" borderId="0" pivotButton="0" quotePrefix="0" xfId="0"/>
    <xf numFmtId="0" fontId="2" fillId="5" borderId="1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0" borderId="0" pivotButton="0" quotePrefix="0" xfId="0"/>
    <xf numFmtId="0" fontId="57" fillId="0" borderId="0" pivotButton="0" quotePrefix="0" xfId="0"/>
    <xf numFmtId="0" fontId="58" fillId="0" borderId="0" pivotButton="0" quotePrefix="0" xfId="0"/>
    <xf numFmtId="0" fontId="59" fillId="0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pivotButton="0" quotePrefix="0" xfId="0"/>
    <xf numFmtId="0" fontId="67" fillId="0" borderId="0" pivotButton="0" quotePrefix="0" xfId="0"/>
    <xf numFmtId="0" fontId="68" fillId="0" borderId="0" pivotButton="0" quotePrefix="0" xfId="0"/>
    <xf numFmtId="0" fontId="69" fillId="0" borderId="0" pivotButton="0" quotePrefix="0" xfId="0"/>
    <xf numFmtId="0" fontId="70" fillId="0" borderId="0" pivotButton="0" quotePrefix="0" xfId="0"/>
    <xf numFmtId="0" fontId="71" fillId="0" borderId="0" pivotButton="0" quotePrefix="0" xfId="0"/>
    <xf numFmtId="0" fontId="72" fillId="0" borderId="0" pivotButton="0" quotePrefix="0" xfId="0"/>
    <xf numFmtId="0" fontId="73" fillId="0" borderId="0" pivotButton="0" quotePrefix="0" xfId="0"/>
    <xf numFmtId="0" fontId="74" fillId="0" borderId="0" pivotButton="0" quotePrefix="0" xfId="0"/>
    <xf numFmtId="0" fontId="75" fillId="0" borderId="0" pivotButton="0" quotePrefix="0" xfId="0"/>
    <xf numFmtId="0" fontId="76" fillId="0" borderId="0" pivotButton="0" quotePrefix="0" xfId="0"/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82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85" fillId="0" borderId="0" pivotButton="0" quotePrefix="0" xfId="0"/>
    <xf numFmtId="0" fontId="86" fillId="0" borderId="0" pivotButton="0" quotePrefix="0" xfId="0"/>
    <xf numFmtId="0" fontId="87" fillId="0" borderId="0" pivotButton="0" quotePrefix="0" xfId="0"/>
    <xf numFmtId="3" fontId="88" fillId="0" borderId="0" applyAlignment="1" pivotButton="0" quotePrefix="0" xfId="0">
      <alignment horizontal="center"/>
    </xf>
    <xf numFmtId="0" fontId="89" fillId="0" borderId="0" pivotButton="0" quotePrefix="0" xfId="0"/>
    <xf numFmtId="0" fontId="90" fillId="0" borderId="0" pivotButton="0" quotePrefix="0" xfId="0"/>
    <xf numFmtId="0" fontId="91" fillId="0" borderId="0" pivotButton="0" quotePrefix="0" xfId="0"/>
    <xf numFmtId="0" fontId="92" fillId="0" borderId="0" pivotButton="0" quotePrefix="0" xfId="0"/>
    <xf numFmtId="0" fontId="93" fillId="0" borderId="0" pivotButton="0" quotePrefix="0" xfId="0"/>
    <xf numFmtId="0" fontId="94" fillId="0" borderId="0" pivotButton="0" quotePrefix="0" xfId="0"/>
    <xf numFmtId="0" fontId="95" fillId="0" borderId="0" pivotButton="0" quotePrefix="0" xfId="0"/>
    <xf numFmtId="0" fontId="96" fillId="0" borderId="0" pivotButton="0" quotePrefix="0" xfId="0"/>
    <xf numFmtId="0" fontId="97" fillId="0" borderId="0" pivotButton="0" quotePrefix="0" xfId="0"/>
    <xf numFmtId="0" fontId="98" fillId="0" borderId="0" pivotButton="0" quotePrefix="0" xfId="0"/>
    <xf numFmtId="0" fontId="99" fillId="0" borderId="0" pivotButton="0" quotePrefix="0" xfId="0"/>
    <xf numFmtId="0" fontId="100" fillId="0" borderId="0" pivotButton="0" quotePrefix="0" xfId="0"/>
    <xf numFmtId="0" fontId="101" fillId="0" borderId="0" pivotButton="0" quotePrefix="0" xfId="0"/>
    <xf numFmtId="0" fontId="102" fillId="0" borderId="0" pivotButton="0" quotePrefix="0" xfId="0"/>
    <xf numFmtId="0" fontId="103" fillId="0" borderId="0" pivotButton="0" quotePrefix="0" xfId="0"/>
    <xf numFmtId="0" fontId="104" fillId="0" borderId="0" pivotButton="0" quotePrefix="0" xfId="0"/>
    <xf numFmtId="0" fontId="105" fillId="0" borderId="0" pivotButton="0" quotePrefix="0" xfId="0"/>
    <xf numFmtId="0" fontId="106" fillId="0" borderId="0" pivotButton="0" quotePrefix="0" xfId="0"/>
    <xf numFmtId="0" fontId="107" fillId="0" borderId="0" pivotButton="0" quotePrefix="0" xfId="0"/>
    <xf numFmtId="0" fontId="108" fillId="0" borderId="0" pivotButton="0" quotePrefix="0" xfId="0"/>
    <xf numFmtId="0" fontId="109" fillId="0" borderId="0" pivotButton="0" quotePrefix="0" xfId="0"/>
    <xf numFmtId="0" fontId="110" fillId="0" borderId="0" pivotButton="0" quotePrefix="0" xfId="0"/>
    <xf numFmtId="0" fontId="111" fillId="0" borderId="0" pivotButton="0" quotePrefix="0" xfId="0"/>
    <xf numFmtId="0" fontId="112" fillId="0" borderId="0" pivotButton="0" quotePrefix="0" xfId="0"/>
    <xf numFmtId="0" fontId="113" fillId="0" borderId="0" pivotButton="0" quotePrefix="0" xfId="0"/>
    <xf numFmtId="0" fontId="114" fillId="0" borderId="0" pivotButton="0" quotePrefix="0" xfId="0"/>
    <xf numFmtId="0" fontId="115" fillId="0" borderId="0" pivotButton="0" quotePrefix="0" xfId="0"/>
    <xf numFmtId="0" fontId="116" fillId="0" borderId="0" pivotButton="0" quotePrefix="0" xfId="0"/>
    <xf numFmtId="0" fontId="117" fillId="0" borderId="0" pivotButton="0" quotePrefix="0" xfId="0"/>
    <xf numFmtId="0" fontId="118" fillId="0" borderId="0" pivotButton="0" quotePrefix="0" xfId="0"/>
    <xf numFmtId="0" fontId="119" fillId="0" borderId="0" pivotButton="0" quotePrefix="0" xfId="0"/>
    <xf numFmtId="0" fontId="120" fillId="0" borderId="0" pivotButton="0" quotePrefix="0" xfId="0"/>
    <xf numFmtId="0" fontId="121" fillId="0" borderId="0" pivotButton="0" quotePrefix="0" xfId="0"/>
    <xf numFmtId="0" fontId="122" fillId="0" borderId="0" pivotButton="0" quotePrefix="0" xfId="0"/>
    <xf numFmtId="0" fontId="123" fillId="0" borderId="0" pivotButton="0" quotePrefix="0" xfId="0"/>
    <xf numFmtId="0" fontId="124" fillId="0" borderId="0" pivotButton="0" quotePrefix="0" xfId="0"/>
    <xf numFmtId="0" fontId="125" fillId="0" borderId="0" pivotButton="0" quotePrefix="0" xfId="0"/>
    <xf numFmtId="0" fontId="126" fillId="0" borderId="0" pivotButton="0" quotePrefix="0" xfId="0"/>
    <xf numFmtId="0" fontId="127" fillId="0" borderId="0" pivotButton="0" quotePrefix="0" xfId="0"/>
    <xf numFmtId="0" fontId="128" fillId="0" borderId="0" pivotButton="0" quotePrefix="0" xfId="0"/>
    <xf numFmtId="0" fontId="129" fillId="0" borderId="0" pivotButton="0" quotePrefix="0" xfId="0"/>
    <xf numFmtId="0" fontId="130" fillId="0" borderId="0" pivotButton="0" quotePrefix="0" xfId="0"/>
    <xf numFmtId="0" fontId="131" fillId="0" borderId="0" pivotButton="0" quotePrefix="0" xfId="0"/>
    <xf numFmtId="0" fontId="132" fillId="0" borderId="0" pivotButton="0" quotePrefix="0" xfId="0"/>
    <xf numFmtId="0" fontId="133" fillId="0" borderId="0" pivotButton="0" quotePrefix="0" xfId="0"/>
    <xf numFmtId="0" fontId="134" fillId="0" borderId="0" pivotButton="0" quotePrefix="0" xfId="0"/>
    <xf numFmtId="0" fontId="135" fillId="0" borderId="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0" borderId="0" pivotButton="0" quotePrefix="0" xfId="0"/>
    <xf numFmtId="0" fontId="139" fillId="0" borderId="0" pivotButton="0" quotePrefix="0" xfId="0"/>
    <xf numFmtId="0" fontId="140" fillId="0" borderId="0" pivotButton="0" quotePrefix="0" xfId="0"/>
    <xf numFmtId="0" fontId="141" fillId="0" borderId="0" pivotButton="0" quotePrefix="0" xfId="0"/>
    <xf numFmtId="0" fontId="142" fillId="0" borderId="0" pivotButton="0" quotePrefix="0" xfId="0"/>
    <xf numFmtId="0" fontId="143" fillId="0" borderId="0" pivotButton="0" quotePrefix="0" xfId="0"/>
    <xf numFmtId="0" fontId="144" fillId="0" borderId="0" pivotButton="0" quotePrefix="0" xfId="0"/>
    <xf numFmtId="0" fontId="145" fillId="0" borderId="0" pivotButton="0" quotePrefix="0" xfId="0"/>
    <xf numFmtId="0" fontId="146" fillId="0" borderId="0" pivotButton="0" quotePrefix="0" xfId="0"/>
    <xf numFmtId="0" fontId="147" fillId="0" borderId="0" pivotButton="0" quotePrefix="0" xfId="0"/>
    <xf numFmtId="0" fontId="148" fillId="0" borderId="0" pivotButton="0" quotePrefix="0" xfId="0"/>
    <xf numFmtId="0" fontId="149" fillId="0" borderId="0" pivotButton="0" quotePrefix="0" xfId="0"/>
    <xf numFmtId="0" fontId="150" fillId="0" borderId="0" pivotButton="0" quotePrefix="0" xfId="0"/>
    <xf numFmtId="0" fontId="151" fillId="0" borderId="0" pivotButton="0" quotePrefix="0" xfId="0"/>
    <xf numFmtId="0" fontId="152" fillId="0" borderId="0" pivotButton="0" quotePrefix="0" xfId="0"/>
    <xf numFmtId="0" fontId="153" fillId="0" borderId="0" pivotButton="0" quotePrefix="0" xfId="0"/>
    <xf numFmtId="0" fontId="154" fillId="0" borderId="0" pivotButton="0" quotePrefix="0" xfId="0"/>
    <xf numFmtId="0" fontId="155" fillId="0" borderId="0" pivotButton="0" quotePrefix="0" xfId="0"/>
    <xf numFmtId="0" fontId="156" fillId="0" borderId="0" pivotButton="0" quotePrefix="0" xfId="0"/>
    <xf numFmtId="0" fontId="157" fillId="0" borderId="0" pivotButton="0" quotePrefix="0" xfId="0"/>
    <xf numFmtId="0" fontId="158" fillId="0" borderId="0" pivotButton="0" quotePrefix="0" xfId="0"/>
    <xf numFmtId="0" fontId="159" fillId="0" borderId="0" pivotButton="0" quotePrefix="0" xfId="0"/>
    <xf numFmtId="0" fontId="160" fillId="0" borderId="0" pivotButton="0" quotePrefix="0" xfId="0"/>
    <xf numFmtId="0" fontId="161" fillId="0" borderId="0" pivotButton="0" quotePrefix="0" xfId="0"/>
    <xf numFmtId="0" fontId="162" fillId="0" borderId="0" pivotButton="0" quotePrefix="0" xfId="0"/>
    <xf numFmtId="0" fontId="163" fillId="0" borderId="0" pivotButton="0" quotePrefix="0" xfId="0"/>
    <xf numFmtId="0" fontId="164" fillId="0" borderId="0" pivotButton="0" quotePrefix="0" xfId="0"/>
    <xf numFmtId="0" fontId="165" fillId="0" borderId="0" pivotButton="0" quotePrefix="0" xfId="0"/>
    <xf numFmtId="0" fontId="166" fillId="0" borderId="0" pivotButton="0" quotePrefix="0" xfId="0"/>
    <xf numFmtId="0" fontId="167" fillId="0" borderId="0" pivotButton="0" quotePrefix="0" xfId="0"/>
    <xf numFmtId="0" fontId="168" fillId="0" borderId="0" pivotButton="0" quotePrefix="0" xfId="0"/>
    <xf numFmtId="0" fontId="169" fillId="0" borderId="0" pivotButton="0" quotePrefix="0" xfId="0"/>
    <xf numFmtId="0" fontId="170" fillId="0" borderId="0" pivotButton="0" quotePrefix="0" xfId="0"/>
    <xf numFmtId="0" fontId="171" fillId="0" borderId="0" pivotButton="0" quotePrefix="0" xfId="0"/>
    <xf numFmtId="0" fontId="172" fillId="0" borderId="0" pivotButton="0" quotePrefix="0" xfId="0"/>
    <xf numFmtId="0" fontId="173" fillId="0" borderId="0" pivotButton="0" quotePrefix="0" xfId="0"/>
    <xf numFmtId="0" fontId="174" fillId="0" borderId="0" pivotButton="0" quotePrefix="0" xfId="0"/>
    <xf numFmtId="0" fontId="175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176" fillId="0" borderId="0" pivotButton="0" quotePrefix="0" xfId="0"/>
    <xf numFmtId="0" fontId="177" fillId="0" borderId="0" pivotButton="0" quotePrefix="0" xfId="0"/>
    <xf numFmtId="0" fontId="17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Daily Growth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Dashboard!$J$2</f>
              <strCache>
                <ptCount val="1"/>
                <pt idx="0">
                  <v>Kim Kay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strRef>
              <f>Dashboard!$I$3:$I$56</f>
              <strCache>
                <ptCount val="54"/>
                <pt idx="0">
                  <v>2026-03-01</v>
                </pt>
                <pt idx="1">
                  <v>2026-03-02</v>
                </pt>
                <pt idx="2">
                  <v>2026-03-03</v>
                </pt>
                <pt idx="3">
                  <v>2026-03-04</v>
                </pt>
                <pt idx="4">
                  <v>2026-03-05</v>
                </pt>
                <pt idx="5">
                  <v>2026-03-06</v>
                </pt>
                <pt idx="6">
                  <v>2026-03-07</v>
                </pt>
                <pt idx="7">
                  <v>2026-03-08</v>
                </pt>
                <pt idx="8">
                  <v>2026-03-09</v>
                </pt>
                <pt idx="9">
                  <v>2026-03-10</v>
                </pt>
                <pt idx="10">
                  <v>2026-03-11</v>
                </pt>
                <pt idx="11">
                  <v>2026-03-12</v>
                </pt>
                <pt idx="12">
                  <v>2026-03-13</v>
                </pt>
                <pt idx="13">
                  <v>2026-03-14</v>
                </pt>
                <pt idx="14">
                  <v>2026-03-15</v>
                </pt>
                <pt idx="15">
                  <v>2026-03-16</v>
                </pt>
                <pt idx="16">
                  <v>2026-03-17</v>
                </pt>
                <pt idx="17">
                  <v>2026-03-18</v>
                </pt>
                <pt idx="18">
                  <v>2026-03-19</v>
                </pt>
                <pt idx="19">
                  <v>2026-03-20</v>
                </pt>
                <pt idx="20">
                  <v>2026-03-21</v>
                </pt>
                <pt idx="21">
                  <v>2026-03-22</v>
                </pt>
                <pt idx="22">
                  <v>2026-03-23</v>
                </pt>
                <pt idx="23">
                  <v>2026-03-24</v>
                </pt>
                <pt idx="24">
                  <v>2026-03-25</v>
                </pt>
                <pt idx="25">
                  <v>2026-03-26</v>
                </pt>
                <pt idx="26">
                  <v>2026-03-27</v>
                </pt>
                <pt idx="27">
                  <v>2026-03-28</v>
                </pt>
                <pt idx="28">
                  <v>2026-03-29</v>
                </pt>
                <pt idx="29">
                  <v>2026-03-30</v>
                </pt>
                <pt idx="30">
                  <v>2026-03-31</v>
                </pt>
                <pt idx="31">
                  <v>2026-04-01</v>
                </pt>
                <pt idx="32">
                  <v>2026-04-02</v>
                </pt>
                <pt idx="33">
                  <v>2026-04-03</v>
                </pt>
                <pt idx="34">
                  <v>2026-04-04</v>
                </pt>
                <pt idx="35">
                  <v>2026-04-05</v>
                </pt>
                <pt idx="36">
                  <v>2026-04-06</v>
                </pt>
                <pt idx="37">
                  <v>2026-04-07</v>
                </pt>
                <pt idx="38">
                  <v>2026-04-08</v>
                </pt>
                <pt idx="39">
                  <v>2026-04-09</v>
                </pt>
                <pt idx="40">
                  <v>2026-04-10</v>
                </pt>
                <pt idx="41">
                  <v>2026-04-11</v>
                </pt>
                <pt idx="42">
                  <v>2026-04-12</v>
                </pt>
                <pt idx="43">
                  <v>2026-04-13</v>
                </pt>
                <pt idx="44">
                  <v>2026-04-14</v>
                </pt>
                <pt idx="45">
                  <v>2026-04-15</v>
                </pt>
                <pt idx="46">
                  <v>2026-04-16</v>
                </pt>
                <pt idx="47">
                  <v>2026-04-17</v>
                </pt>
                <pt idx="48">
                  <v>2026-04-18</v>
                </pt>
                <pt idx="49">
                  <v>2026-04-19</v>
                </pt>
                <pt idx="50">
                  <v>2026-04-20</v>
                </pt>
                <pt idx="51">
                  <v>2026-04-21</v>
                </pt>
                <pt idx="52">
                  <v>2026-04-22</v>
                </pt>
                <pt idx="53">
                  <v>2026-04-23</v>
                </pt>
              </strCache>
            </strRef>
          </cat>
          <val>
            <numRef>
              <f>Dashboard!$J$3:$J$56</f>
              <numCache>
                <formatCode>#,##0</formatCode>
                <ptCount val="54"/>
                <pt idx="0">
                  <v>95</v>
                </pt>
                <pt idx="1">
                  <v>85</v>
                </pt>
                <pt idx="2">
                  <v>111</v>
                </pt>
                <pt idx="3">
                  <v>94</v>
                </pt>
                <pt idx="4">
                  <v>103</v>
                </pt>
                <pt idx="5">
                  <v>116</v>
                </pt>
                <pt idx="6">
                  <v>101</v>
                </pt>
                <pt idx="7">
                  <v>128</v>
                </pt>
                <pt idx="8">
                  <v>128</v>
                </pt>
                <pt idx="9">
                  <v>150</v>
                </pt>
                <pt idx="10">
                  <v>140</v>
                </pt>
                <pt idx="11">
                  <v>145</v>
                </pt>
                <pt idx="12">
                  <v>110</v>
                </pt>
                <pt idx="13">
                  <v>135</v>
                </pt>
                <pt idx="14">
                  <v>100</v>
                </pt>
                <pt idx="15">
                  <v>113</v>
                </pt>
                <pt idx="16">
                  <v>109</v>
                </pt>
                <pt idx="17">
                  <v>140</v>
                </pt>
                <pt idx="18">
                  <v>125</v>
                </pt>
                <pt idx="19">
                  <v>119</v>
                </pt>
                <pt idx="20">
                  <v>140</v>
                </pt>
                <pt idx="21">
                  <v>156</v>
                </pt>
                <pt idx="22">
                  <v>99</v>
                </pt>
                <pt idx="23">
                  <v>129</v>
                </pt>
                <pt idx="24">
                  <v>133</v>
                </pt>
                <pt idx="25">
                  <v>155</v>
                </pt>
                <pt idx="26">
                  <v>83</v>
                </pt>
                <pt idx="27">
                  <v>92</v>
                </pt>
                <pt idx="28">
                  <v>102</v>
                </pt>
                <pt idx="29">
                  <v>81</v>
                </pt>
                <pt idx="30">
                  <v>105</v>
                </pt>
                <pt idx="31">
                  <v>96</v>
                </pt>
                <pt idx="32">
                  <v>81</v>
                </pt>
                <pt idx="33">
                  <v>91</v>
                </pt>
                <pt idx="34">
                  <v>75</v>
                </pt>
                <pt idx="35">
                  <v>95</v>
                </pt>
                <pt idx="36">
                  <v>71</v>
                </pt>
                <pt idx="37">
                  <v>65</v>
                </pt>
                <pt idx="38">
                  <v>111</v>
                </pt>
                <pt idx="39">
                  <v>69</v>
                </pt>
                <pt idx="40">
                  <v>105</v>
                </pt>
                <pt idx="41">
                  <v>80</v>
                </pt>
                <pt idx="42">
                  <v>84</v>
                </pt>
                <pt idx="43">
                  <v>84</v>
                </pt>
                <pt idx="44">
                  <v>59</v>
                </pt>
                <pt idx="45">
                  <v>82</v>
                </pt>
                <pt idx="46">
                  <v>63</v>
                </pt>
                <pt idx="47">
                  <v>63</v>
                </pt>
                <pt idx="48">
                  <v>56</v>
                </pt>
                <pt idx="49">
                  <v>57</v>
                </pt>
                <pt idx="50">
                  <v>54</v>
                </pt>
                <pt idx="51">
                  <v>58</v>
                </pt>
                <pt idx="52">
                  <v>62</v>
                </pt>
                <pt idx="53">
                  <v>52</v>
                </pt>
              </numCache>
            </numRef>
          </val>
          <smooth val="0"/>
        </ser>
        <ser>
          <idx val="1"/>
          <order val="1"/>
          <tx>
            <strRef>
              <f>Dashboard!$K$2</f>
              <strCache>
                <ptCount val="1"/>
                <pt idx="0">
                  <v>Arthur LeGrand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cat>
            <strRef>
              <f>Dashboard!$I$3:$I$56</f>
              <strCache>
                <ptCount val="54"/>
                <pt idx="0">
                  <v>2026-03-01</v>
                </pt>
                <pt idx="1">
                  <v>2026-03-02</v>
                </pt>
                <pt idx="2">
                  <v>2026-03-03</v>
                </pt>
                <pt idx="3">
                  <v>2026-03-04</v>
                </pt>
                <pt idx="4">
                  <v>2026-03-05</v>
                </pt>
                <pt idx="5">
                  <v>2026-03-06</v>
                </pt>
                <pt idx="6">
                  <v>2026-03-07</v>
                </pt>
                <pt idx="7">
                  <v>2026-03-08</v>
                </pt>
                <pt idx="8">
                  <v>2026-03-09</v>
                </pt>
                <pt idx="9">
                  <v>2026-03-10</v>
                </pt>
                <pt idx="10">
                  <v>2026-03-11</v>
                </pt>
                <pt idx="11">
                  <v>2026-03-12</v>
                </pt>
                <pt idx="12">
                  <v>2026-03-13</v>
                </pt>
                <pt idx="13">
                  <v>2026-03-14</v>
                </pt>
                <pt idx="14">
                  <v>2026-03-15</v>
                </pt>
                <pt idx="15">
                  <v>2026-03-16</v>
                </pt>
                <pt idx="16">
                  <v>2026-03-17</v>
                </pt>
                <pt idx="17">
                  <v>2026-03-18</v>
                </pt>
                <pt idx="18">
                  <v>2026-03-19</v>
                </pt>
                <pt idx="19">
                  <v>2026-03-20</v>
                </pt>
                <pt idx="20">
                  <v>2026-03-21</v>
                </pt>
                <pt idx="21">
                  <v>2026-03-22</v>
                </pt>
                <pt idx="22">
                  <v>2026-03-23</v>
                </pt>
                <pt idx="23">
                  <v>2026-03-24</v>
                </pt>
                <pt idx="24">
                  <v>2026-03-25</v>
                </pt>
                <pt idx="25">
                  <v>2026-03-26</v>
                </pt>
                <pt idx="26">
                  <v>2026-03-27</v>
                </pt>
                <pt idx="27">
                  <v>2026-03-28</v>
                </pt>
                <pt idx="28">
                  <v>2026-03-29</v>
                </pt>
                <pt idx="29">
                  <v>2026-03-30</v>
                </pt>
                <pt idx="30">
                  <v>2026-03-31</v>
                </pt>
                <pt idx="31">
                  <v>2026-04-01</v>
                </pt>
                <pt idx="32">
                  <v>2026-04-02</v>
                </pt>
                <pt idx="33">
                  <v>2026-04-03</v>
                </pt>
                <pt idx="34">
                  <v>2026-04-04</v>
                </pt>
                <pt idx="35">
                  <v>2026-04-05</v>
                </pt>
                <pt idx="36">
                  <v>2026-04-06</v>
                </pt>
                <pt idx="37">
                  <v>2026-04-07</v>
                </pt>
                <pt idx="38">
                  <v>2026-04-08</v>
                </pt>
                <pt idx="39">
                  <v>2026-04-09</v>
                </pt>
                <pt idx="40">
                  <v>2026-04-10</v>
                </pt>
                <pt idx="41">
                  <v>2026-04-11</v>
                </pt>
                <pt idx="42">
                  <v>2026-04-12</v>
                </pt>
                <pt idx="43">
                  <v>2026-04-13</v>
                </pt>
                <pt idx="44">
                  <v>2026-04-14</v>
                </pt>
                <pt idx="45">
                  <v>2026-04-15</v>
                </pt>
                <pt idx="46">
                  <v>2026-04-16</v>
                </pt>
                <pt idx="47">
                  <v>2026-04-17</v>
                </pt>
                <pt idx="48">
                  <v>2026-04-18</v>
                </pt>
                <pt idx="49">
                  <v>2026-04-19</v>
                </pt>
                <pt idx="50">
                  <v>2026-04-20</v>
                </pt>
                <pt idx="51">
                  <v>2026-04-21</v>
                </pt>
                <pt idx="52">
                  <v>2026-04-22</v>
                </pt>
                <pt idx="53">
                  <v>2026-04-23</v>
                </pt>
              </strCache>
            </strRef>
          </cat>
          <val>
            <numRef>
              <f>Dashboard!$K$3:$K$56</f>
              <numCache>
                <formatCode>#,##0</formatCode>
                <ptCount val="54"/>
                <pt idx="0">
                  <v>117</v>
                </pt>
                <pt idx="1">
                  <v>119</v>
                </pt>
                <pt idx="2">
                  <v>150</v>
                </pt>
                <pt idx="3">
                  <v>192</v>
                </pt>
                <pt idx="4">
                  <v>204</v>
                </pt>
                <pt idx="5">
                  <v>207</v>
                </pt>
                <pt idx="6">
                  <v>152</v>
                </pt>
                <pt idx="7">
                  <v>240</v>
                </pt>
                <pt idx="8">
                  <v>178</v>
                </pt>
                <pt idx="9">
                  <v>210</v>
                </pt>
                <pt idx="10">
                  <v>220</v>
                </pt>
                <pt idx="11">
                  <v>218</v>
                </pt>
                <pt idx="12">
                  <v>166</v>
                </pt>
                <pt idx="13">
                  <v>188</v>
                </pt>
                <pt idx="14">
                  <v>192</v>
                </pt>
                <pt idx="15">
                  <v>215</v>
                </pt>
                <pt idx="16">
                  <v>198</v>
                </pt>
                <pt idx="17">
                  <v>217</v>
                </pt>
                <pt idx="18">
                  <v>166</v>
                </pt>
                <pt idx="19">
                  <v>165</v>
                </pt>
                <pt idx="20">
                  <v>174</v>
                </pt>
                <pt idx="21">
                  <v>199</v>
                </pt>
                <pt idx="22">
                  <v>127</v>
                </pt>
                <pt idx="23">
                  <v>164</v>
                </pt>
                <pt idx="24">
                  <v>156</v>
                </pt>
                <pt idx="25">
                  <v>167</v>
                </pt>
                <pt idx="26">
                  <v>149</v>
                </pt>
                <pt idx="27">
                  <v>160</v>
                </pt>
                <pt idx="28">
                  <v>165</v>
                </pt>
                <pt idx="29">
                  <v>120</v>
                </pt>
                <pt idx="30">
                  <v>152</v>
                </pt>
                <pt idx="31">
                  <v>158</v>
                </pt>
                <pt idx="32">
                  <v>158</v>
                </pt>
                <pt idx="33">
                  <v>144</v>
                </pt>
                <pt idx="34">
                  <v>153</v>
                </pt>
                <pt idx="35">
                  <v>168</v>
                </pt>
                <pt idx="36">
                  <v>134</v>
                </pt>
                <pt idx="37">
                  <v>165</v>
                </pt>
                <pt idx="38">
                  <v>165</v>
                </pt>
                <pt idx="39">
                  <v>131</v>
                </pt>
                <pt idx="40">
                  <v>148</v>
                </pt>
                <pt idx="41">
                  <v>153</v>
                </pt>
                <pt idx="42">
                  <v>193</v>
                </pt>
                <pt idx="43">
                  <v>193</v>
                </pt>
                <pt idx="44">
                  <v>162</v>
                </pt>
                <pt idx="45">
                  <v>167</v>
                </pt>
                <pt idx="46">
                  <v>128</v>
                </pt>
                <pt idx="47">
                  <v>146</v>
                </pt>
                <pt idx="48">
                  <v>161</v>
                </pt>
                <pt idx="49">
                  <v>194</v>
                </pt>
                <pt idx="50">
                  <v>153</v>
                </pt>
                <pt idx="51">
                  <v>133</v>
                </pt>
                <pt idx="52">
                  <v>159</v>
                </pt>
                <pt idx="53">
                  <v>146</v>
                </pt>
              </numCache>
            </numRef>
          </val>
          <smooth val="0"/>
        </ser>
        <ser>
          <idx val="2"/>
          <order val="2"/>
          <tx>
            <strRef>
              <f>Dashboard!$L$2</f>
              <strCache>
                <ptCount val="1"/>
                <pt idx="0">
                  <v>Titan Hawk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cat>
            <strRef>
              <f>Dashboard!$I$3:$I$56</f>
              <strCache>
                <ptCount val="54"/>
                <pt idx="0">
                  <v>2026-03-01</v>
                </pt>
                <pt idx="1">
                  <v>2026-03-02</v>
                </pt>
                <pt idx="2">
                  <v>2026-03-03</v>
                </pt>
                <pt idx="3">
                  <v>2026-03-04</v>
                </pt>
                <pt idx="4">
                  <v>2026-03-05</v>
                </pt>
                <pt idx="5">
                  <v>2026-03-06</v>
                </pt>
                <pt idx="6">
                  <v>2026-03-07</v>
                </pt>
                <pt idx="7">
                  <v>2026-03-08</v>
                </pt>
                <pt idx="8">
                  <v>2026-03-09</v>
                </pt>
                <pt idx="9">
                  <v>2026-03-10</v>
                </pt>
                <pt idx="10">
                  <v>2026-03-11</v>
                </pt>
                <pt idx="11">
                  <v>2026-03-12</v>
                </pt>
                <pt idx="12">
                  <v>2026-03-13</v>
                </pt>
                <pt idx="13">
                  <v>2026-03-14</v>
                </pt>
                <pt idx="14">
                  <v>2026-03-15</v>
                </pt>
                <pt idx="15">
                  <v>2026-03-16</v>
                </pt>
                <pt idx="16">
                  <v>2026-03-17</v>
                </pt>
                <pt idx="17">
                  <v>2026-03-18</v>
                </pt>
                <pt idx="18">
                  <v>2026-03-19</v>
                </pt>
                <pt idx="19">
                  <v>2026-03-20</v>
                </pt>
                <pt idx="20">
                  <v>2026-03-21</v>
                </pt>
                <pt idx="21">
                  <v>2026-03-22</v>
                </pt>
                <pt idx="22">
                  <v>2026-03-23</v>
                </pt>
                <pt idx="23">
                  <v>2026-03-24</v>
                </pt>
                <pt idx="24">
                  <v>2026-03-25</v>
                </pt>
                <pt idx="25">
                  <v>2026-03-26</v>
                </pt>
                <pt idx="26">
                  <v>2026-03-27</v>
                </pt>
                <pt idx="27">
                  <v>2026-03-28</v>
                </pt>
                <pt idx="28">
                  <v>2026-03-29</v>
                </pt>
                <pt idx="29">
                  <v>2026-03-30</v>
                </pt>
                <pt idx="30">
                  <v>2026-03-31</v>
                </pt>
                <pt idx="31">
                  <v>2026-04-01</v>
                </pt>
                <pt idx="32">
                  <v>2026-04-02</v>
                </pt>
                <pt idx="33">
                  <v>2026-04-03</v>
                </pt>
                <pt idx="34">
                  <v>2026-04-04</v>
                </pt>
                <pt idx="35">
                  <v>2026-04-05</v>
                </pt>
                <pt idx="36">
                  <v>2026-04-06</v>
                </pt>
                <pt idx="37">
                  <v>2026-04-07</v>
                </pt>
                <pt idx="38">
                  <v>2026-04-08</v>
                </pt>
                <pt idx="39">
                  <v>2026-04-09</v>
                </pt>
                <pt idx="40">
                  <v>2026-04-10</v>
                </pt>
                <pt idx="41">
                  <v>2026-04-11</v>
                </pt>
                <pt idx="42">
                  <v>2026-04-12</v>
                </pt>
                <pt idx="43">
                  <v>2026-04-13</v>
                </pt>
                <pt idx="44">
                  <v>2026-04-14</v>
                </pt>
                <pt idx="45">
                  <v>2026-04-15</v>
                </pt>
                <pt idx="46">
                  <v>2026-04-16</v>
                </pt>
                <pt idx="47">
                  <v>2026-04-17</v>
                </pt>
                <pt idx="48">
                  <v>2026-04-18</v>
                </pt>
                <pt idx="49">
                  <v>2026-04-19</v>
                </pt>
                <pt idx="50">
                  <v>2026-04-20</v>
                </pt>
                <pt idx="51">
                  <v>2026-04-21</v>
                </pt>
                <pt idx="52">
                  <v>2026-04-22</v>
                </pt>
                <pt idx="53">
                  <v>2026-04-23</v>
                </pt>
              </strCache>
            </strRef>
          </cat>
          <val>
            <numRef>
              <f>Dashboard!$L$3:$L$56</f>
              <numCache>
                <formatCode>#,##0</formatCode>
                <ptCount val="54"/>
                <pt idx="0">
                  <v>33</v>
                </pt>
                <pt idx="1">
                  <v>41</v>
                </pt>
                <pt idx="2">
                  <v>41</v>
                </pt>
                <pt idx="3">
                  <v>59</v>
                </pt>
                <pt idx="4">
                  <v>63</v>
                </pt>
                <pt idx="5">
                  <v>77</v>
                </pt>
                <pt idx="6">
                  <v>46</v>
                </pt>
                <pt idx="7">
                  <v>67</v>
                </pt>
                <pt idx="8">
                  <v>67</v>
                </pt>
                <pt idx="9">
                  <v>106</v>
                </pt>
                <pt idx="10">
                  <v>99</v>
                </pt>
                <pt idx="11">
                  <v>124</v>
                </pt>
                <pt idx="12">
                  <v>116</v>
                </pt>
                <pt idx="13">
                  <v>147</v>
                </pt>
                <pt idx="14">
                  <v>107</v>
                </pt>
                <pt idx="15">
                  <v>109</v>
                </pt>
                <pt idx="16">
                  <v>83</v>
                </pt>
                <pt idx="17">
                  <v>119</v>
                </pt>
                <pt idx="18">
                  <v>97</v>
                </pt>
                <pt idx="19">
                  <v>87</v>
                </pt>
                <pt idx="20">
                  <v>118</v>
                </pt>
                <pt idx="21">
                  <v>111</v>
                </pt>
                <pt idx="22">
                  <v>67</v>
                </pt>
                <pt idx="23">
                  <v>103</v>
                </pt>
                <pt idx="24">
                  <v>112</v>
                </pt>
                <pt idx="25">
                  <v>104</v>
                </pt>
                <pt idx="26">
                  <v>107</v>
                </pt>
                <pt idx="27">
                  <v>119</v>
                </pt>
                <pt idx="28">
                  <v>124</v>
                </pt>
                <pt idx="29">
                  <v>81</v>
                </pt>
                <pt idx="30">
                  <v>101</v>
                </pt>
                <pt idx="31">
                  <v>95</v>
                </pt>
                <pt idx="32">
                  <v>120</v>
                </pt>
                <pt idx="33">
                  <v>94</v>
                </pt>
                <pt idx="34">
                  <v>98</v>
                </pt>
                <pt idx="35">
                  <v>97</v>
                </pt>
                <pt idx="36">
                  <v>75</v>
                </pt>
                <pt idx="37">
                  <v>82</v>
                </pt>
                <pt idx="38">
                  <v>87</v>
                </pt>
                <pt idx="39">
                  <v>104</v>
                </pt>
                <pt idx="40">
                  <v>85</v>
                </pt>
                <pt idx="41">
                  <v>90</v>
                </pt>
                <pt idx="42">
                  <v>64</v>
                </pt>
                <pt idx="43">
                  <v>85</v>
                </pt>
                <pt idx="44">
                  <v>64</v>
                </pt>
                <pt idx="45">
                  <v>86</v>
                </pt>
                <pt idx="46">
                  <v>75</v>
                </pt>
                <pt idx="47">
                  <v>69</v>
                </pt>
                <pt idx="48">
                  <v>57</v>
                </pt>
                <pt idx="49">
                  <v>60</v>
                </pt>
                <pt idx="50">
                  <v>66</v>
                </pt>
                <pt idx="51">
                  <v>71</v>
                </pt>
                <pt idx="52">
                  <v>94</v>
                </pt>
                <pt idx="53">
                  <v>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4689488"/>
        <axId val="1924694768"/>
      </lineChart>
      <catAx>
        <axId val="1924689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24694768"/>
        <crosses val="autoZero"/>
        <auto val="1"/>
        <lblAlgn val="ctr"/>
        <lblOffset val="100"/>
        <noMultiLvlLbl val="0"/>
      </catAx>
      <valAx>
        <axId val="19246947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246894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476250</colOff>
      <row>21</row>
      <rowOff>9523</rowOff>
    </from>
    <to>
      <col>7</col>
      <colOff>114300</colOff>
      <row>34</row>
      <rowOff>190499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1"/>
  <sheetViews>
    <sheetView zoomScale="115" zoomScaleNormal="115" workbookViewId="0">
      <pane ySplit="1" topLeftCell="A69" activePane="bottomLeft" state="frozen"/>
      <selection pane="bottomLeft" activeCell="I1" sqref="I1:I1048576"/>
    </sheetView>
  </sheetViews>
  <sheetFormatPr baseColWidth="8" defaultRowHeight="15"/>
  <cols>
    <col width="30.5703125" customWidth="1" style="22" min="1" max="1"/>
    <col width="64.7109375" customWidth="1" min="2" max="2"/>
    <col width="5.140625" customWidth="1" style="1" min="3" max="3"/>
    <col width="12.140625" customWidth="1" min="4" max="4"/>
    <col width="4.42578125" customWidth="1" min="5" max="25"/>
    <col width="4.85546875" customWidth="1" min="26" max="41"/>
  </cols>
  <sheetData>
    <row r="1" ht="15.75" customHeight="1" thickBot="1">
      <c r="A1" s="22" t="inlineStr">
        <is>
          <t>URL</t>
        </is>
      </c>
      <c r="B1" t="inlineStr">
        <is>
          <t>Name</t>
        </is>
      </c>
      <c r="C1" s="1" t="inlineStr">
        <is>
          <t>PlaylistID</t>
        </is>
      </c>
      <c r="D1" t="inlineStr">
        <is>
          <t>Followers</t>
        </is>
      </c>
      <c r="E1" t="inlineStr">
        <is>
          <t>2026-03-01</t>
        </is>
      </c>
      <c r="F1" t="inlineStr">
        <is>
          <t>2026-03-02</t>
        </is>
      </c>
      <c r="G1" s="2" t="n">
        <v>46084</v>
      </c>
      <c r="H1" s="2" t="n">
        <v>46085</v>
      </c>
      <c r="I1" t="inlineStr">
        <is>
          <t>2026-03-05</t>
        </is>
      </c>
      <c r="J1" t="inlineStr">
        <is>
          <t>2026-03-06</t>
        </is>
      </c>
      <c r="K1" t="inlineStr">
        <is>
          <t>2026-03-07</t>
        </is>
      </c>
      <c r="L1" t="inlineStr">
        <is>
          <t>2026-03-08</t>
        </is>
      </c>
      <c r="M1" t="inlineStr">
        <is>
          <t>2026-03-09</t>
        </is>
      </c>
      <c r="N1" t="inlineStr">
        <is>
          <t>2026-03-10</t>
        </is>
      </c>
      <c r="O1" t="inlineStr">
        <is>
          <t>2026-03-11</t>
        </is>
      </c>
      <c r="P1" t="inlineStr">
        <is>
          <t>2026-03-12</t>
        </is>
      </c>
      <c r="Q1" t="inlineStr">
        <is>
          <t>2026-03-13</t>
        </is>
      </c>
      <c r="R1" t="inlineStr">
        <is>
          <t>2026-03-14</t>
        </is>
      </c>
      <c r="S1" t="inlineStr">
        <is>
          <t>2026-03-15</t>
        </is>
      </c>
      <c r="T1" t="inlineStr">
        <is>
          <t>2026-03-16</t>
        </is>
      </c>
      <c r="U1" t="inlineStr">
        <is>
          <t>2026-03-17</t>
        </is>
      </c>
      <c r="V1" t="inlineStr">
        <is>
          <t>2026-03-18</t>
        </is>
      </c>
      <c r="W1" t="inlineStr">
        <is>
          <t>2026-03-19</t>
        </is>
      </c>
      <c r="X1" t="inlineStr">
        <is>
          <t>2026-03-20</t>
        </is>
      </c>
      <c r="Y1" t="inlineStr">
        <is>
          <t>2026-03-21</t>
        </is>
      </c>
      <c r="Z1" t="inlineStr">
        <is>
          <t>2026-03-22</t>
        </is>
      </c>
      <c r="AA1" t="inlineStr">
        <is>
          <t>2026-03-23</t>
        </is>
      </c>
      <c r="AB1" t="inlineStr">
        <is>
          <t>2026-03-24</t>
        </is>
      </c>
      <c r="AC1" t="inlineStr">
        <is>
          <t>2026-03-25</t>
        </is>
      </c>
      <c r="AD1" t="inlineStr">
        <is>
          <t>2026-03-26</t>
        </is>
      </c>
      <c r="AE1" t="inlineStr">
        <is>
          <t>2026-03-27</t>
        </is>
      </c>
      <c r="AF1" t="inlineStr">
        <is>
          <t>2026-03-28</t>
        </is>
      </c>
      <c r="AG1" t="inlineStr">
        <is>
          <t>2026-03-29</t>
        </is>
      </c>
      <c r="AH1" t="inlineStr">
        <is>
          <t>2026-03-30</t>
        </is>
      </c>
      <c r="AI1" t="inlineStr">
        <is>
          <t>2026-03-31</t>
        </is>
      </c>
      <c r="AJ1" t="inlineStr">
        <is>
          <t>2026-04-01</t>
        </is>
      </c>
      <c r="AK1" t="inlineStr">
        <is>
          <t>2026-04-02</t>
        </is>
      </c>
      <c r="AL1" t="inlineStr">
        <is>
          <t>2026-04-03</t>
        </is>
      </c>
      <c r="AM1" t="inlineStr">
        <is>
          <t>2026-04-04</t>
        </is>
      </c>
      <c r="AN1" s="2" t="n">
        <v>46117</v>
      </c>
      <c r="AO1" t="inlineStr">
        <is>
          <t>2026-04-06</t>
        </is>
      </c>
      <c r="AP1" t="inlineStr">
        <is>
          <t>2026-04-07</t>
        </is>
      </c>
      <c r="AQ1" t="inlineStr">
        <is>
          <t>2026-04-08</t>
        </is>
      </c>
      <c r="AR1" t="inlineStr">
        <is>
          <t>2026-04-09</t>
        </is>
      </c>
      <c r="AS1" t="inlineStr">
        <is>
          <t>2026-04-10</t>
        </is>
      </c>
      <c r="AT1" t="inlineStr">
        <is>
          <t>2026-04-11</t>
        </is>
      </c>
      <c r="AU1" t="inlineStr">
        <is>
          <t>2026-04-12</t>
        </is>
      </c>
      <c r="AV1" t="inlineStr">
        <is>
          <t>2026-04-13</t>
        </is>
      </c>
      <c r="AW1" t="inlineStr">
        <is>
          <t>2026-04-14</t>
        </is>
      </c>
      <c r="AX1" t="inlineStr">
        <is>
          <t>2026-04-15</t>
        </is>
      </c>
      <c r="AY1" t="inlineStr">
        <is>
          <t>2026-04-16</t>
        </is>
      </c>
      <c r="AZ1" t="inlineStr">
        <is>
          <t>2026-04-17</t>
        </is>
      </c>
      <c r="BA1" t="inlineStr">
        <is>
          <t>2026-04-18</t>
        </is>
      </c>
      <c r="BB1" t="inlineStr">
        <is>
          <t>2026-04-19</t>
        </is>
      </c>
      <c r="BC1" t="inlineStr">
        <is>
          <t>2026-04-20</t>
        </is>
      </c>
      <c r="BD1" t="inlineStr">
        <is>
          <t>2026-04-21</t>
        </is>
      </c>
      <c r="BE1" t="inlineStr">
        <is>
          <t>2026-04-22</t>
        </is>
      </c>
      <c r="BF1" t="inlineStr">
        <is>
          <t>2026-04-23</t>
        </is>
      </c>
      <c r="BG1" t="inlineStr">
        <is>
          <t>2026-04-25</t>
        </is>
      </c>
      <c r="BH1" t="inlineStr">
        <is>
          <t>2026-04-26</t>
        </is>
      </c>
      <c r="BI1" t="inlineStr">
        <is>
          <t>2026-04-28</t>
        </is>
      </c>
      <c r="BJ1" t="inlineStr">
        <is>
          <t>2026-04-29</t>
        </is>
      </c>
      <c r="BK1" t="inlineStr">
        <is>
          <t>2026-04-30</t>
        </is>
      </c>
      <c r="BL1" t="inlineStr">
        <is>
          <t>2026-05-01</t>
        </is>
      </c>
      <c r="BM1" t="inlineStr">
        <is>
          <t>2026-05-02</t>
        </is>
      </c>
      <c r="BN1" t="inlineStr">
        <is>
          <t>2026-05-03</t>
        </is>
      </c>
      <c r="BO1" t="inlineStr">
        <is>
          <t>2026-05-04</t>
        </is>
      </c>
      <c r="BP1" t="inlineStr">
        <is>
          <t>2026-05-05</t>
        </is>
      </c>
      <c r="BQ1" t="inlineStr">
        <is>
          <t>2026-05-06</t>
        </is>
      </c>
    </row>
    <row r="2" ht="15.75" customHeight="1" thickBot="1">
      <c r="A2" s="59" t="inlineStr">
        <is>
          <t>https://open.spotify.com/playlist/7b0g0LmwCbY3Lst0UwAocY</t>
        </is>
      </c>
      <c r="B2" s="42" t="inlineStr">
        <is>
          <t>EHRENLOSE REMIXES 2026 🔥 KRASSE BASS REMIXES ⚡️ TIKTOK HITS</t>
        </is>
      </c>
      <c r="C2" s="55" t="inlineStr">
        <is>
          <t>7b0g0LmwCbY3Lst0UwAocY</t>
        </is>
      </c>
      <c r="D2" s="52" t="n">
        <v>2101</v>
      </c>
      <c r="E2" s="50" t="n">
        <v>17</v>
      </c>
      <c r="F2" s="50" t="n">
        <v>7</v>
      </c>
      <c r="G2" s="48" t="n">
        <v>9</v>
      </c>
      <c r="H2" s="48" t="n">
        <v>11</v>
      </c>
      <c r="I2" s="69" t="n">
        <v>26</v>
      </c>
      <c r="J2" s="72" t="n">
        <v>15</v>
      </c>
      <c r="K2" s="75" t="n">
        <v>12</v>
      </c>
      <c r="L2" s="78" t="n">
        <v>7</v>
      </c>
      <c r="M2" s="81" t="n">
        <v>12</v>
      </c>
      <c r="N2" s="84" t="n">
        <v>10</v>
      </c>
      <c r="O2" s="88" t="n">
        <v>21</v>
      </c>
      <c r="P2" s="91" t="n">
        <v>17</v>
      </c>
      <c r="Q2" s="94" t="n">
        <v>17</v>
      </c>
      <c r="R2" s="97" t="n">
        <v>18</v>
      </c>
      <c r="S2" s="100" t="n">
        <v>10</v>
      </c>
      <c r="T2" s="103" t="n">
        <v>14</v>
      </c>
      <c r="U2" s="106" t="n">
        <v>11</v>
      </c>
      <c r="V2" s="109" t="n">
        <v>7</v>
      </c>
      <c r="W2" s="112" t="n">
        <v>8</v>
      </c>
      <c r="X2" s="115" t="n">
        <v>9</v>
      </c>
      <c r="Y2" s="118" t="n">
        <v>13</v>
      </c>
      <c r="Z2" s="121" t="n">
        <v>2</v>
      </c>
      <c r="AA2" s="125" t="n">
        <v>4</v>
      </c>
      <c r="AB2" s="128" t="n">
        <v>10</v>
      </c>
      <c r="AC2" s="131" t="n">
        <v>4</v>
      </c>
      <c r="AD2" s="134" t="n">
        <v>9</v>
      </c>
      <c r="AE2" s="137" t="n">
        <v>4</v>
      </c>
      <c r="AF2" s="140" t="n">
        <v>10</v>
      </c>
      <c r="AG2" s="143" t="n">
        <v>12</v>
      </c>
      <c r="AH2" s="146" t="n">
        <v>5</v>
      </c>
      <c r="AI2" s="149" t="n">
        <v>10</v>
      </c>
      <c r="AJ2" s="152" t="n">
        <v>2</v>
      </c>
      <c r="AK2" s="153" t="n">
        <v>7</v>
      </c>
      <c r="AL2" s="155" t="n">
        <v>5</v>
      </c>
      <c r="AM2" s="158" t="n">
        <v>5</v>
      </c>
      <c r="AN2" s="161" t="n">
        <v>9</v>
      </c>
      <c r="AO2" s="161" t="n">
        <v>8</v>
      </c>
      <c r="AP2" s="164" t="n">
        <v>7</v>
      </c>
      <c r="AQ2" s="167" t="n">
        <v>10</v>
      </c>
      <c r="AR2" s="170" t="n">
        <v>6</v>
      </c>
      <c r="AS2" s="173" t="n">
        <v>8</v>
      </c>
      <c r="AT2" s="176" t="n">
        <v>4</v>
      </c>
      <c r="AU2" s="176" t="n">
        <v>10</v>
      </c>
      <c r="AV2" s="179" t="n">
        <v>7</v>
      </c>
      <c r="AW2" s="182" t="n">
        <v>6</v>
      </c>
      <c r="AX2" s="182" t="n">
        <v>7</v>
      </c>
      <c r="AY2" s="185" t="n">
        <v>10</v>
      </c>
      <c r="AZ2" s="188" t="n">
        <v>5</v>
      </c>
      <c r="BA2" s="191" t="n">
        <v>3</v>
      </c>
      <c r="BB2" s="194" t="n">
        <v>3</v>
      </c>
      <c r="BC2" s="197" t="n">
        <v>4</v>
      </c>
      <c r="BD2" s="200" t="n">
        <v>5</v>
      </c>
      <c r="BE2" s="203" t="n">
        <v>5</v>
      </c>
      <c r="BF2" s="203" t="n">
        <v>4</v>
      </c>
      <c r="BG2" s="206" t="n">
        <v>16</v>
      </c>
      <c r="BH2" s="209" t="n">
        <v>5</v>
      </c>
      <c r="BI2" s="209" t="n">
        <v>10</v>
      </c>
      <c r="BJ2" s="209" t="n">
        <v>5</v>
      </c>
      <c r="BK2" s="210" t="n">
        <v>3</v>
      </c>
      <c r="BL2" s="210" t="n">
        <v>3</v>
      </c>
      <c r="BM2" s="209" t="n">
        <v>6</v>
      </c>
      <c r="BN2" s="214" t="n">
        <v>3</v>
      </c>
      <c r="BO2" s="216" t="n">
        <v>4</v>
      </c>
      <c r="BP2" s="214" t="n">
        <v>2</v>
      </c>
      <c r="BQ2" s="214" t="n">
        <v>2</v>
      </c>
    </row>
    <row r="3" ht="15.75" customHeight="1" thickBot="1">
      <c r="A3" s="59" t="inlineStr">
        <is>
          <t>https://open.spotify.com/playlist/3WK4yg5FJqE9rZqjFwIVcY</t>
        </is>
      </c>
      <c r="B3" s="42" t="inlineStr">
        <is>
          <t>GYM HOUSE 2026 💪 HOUSE MIX 🏋️ WORKOUT MOTIVATION</t>
        </is>
      </c>
      <c r="C3" s="55" t="inlineStr">
        <is>
          <t>3WK4yg5FJqE9rZqjFwIVcY</t>
        </is>
      </c>
      <c r="D3" s="52" t="n">
        <v>609</v>
      </c>
      <c r="E3" s="50" t="n">
        <v>4</v>
      </c>
      <c r="F3" s="50" t="n">
        <v>4</v>
      </c>
      <c r="G3" s="48" t="n">
        <v>9</v>
      </c>
      <c r="H3" s="48" t="n">
        <v>7</v>
      </c>
      <c r="I3" s="69" t="n">
        <v>6</v>
      </c>
      <c r="J3" s="72" t="n">
        <v>7</v>
      </c>
      <c r="K3" s="75" t="n">
        <v>6</v>
      </c>
      <c r="L3" s="79" t="n">
        <v>2</v>
      </c>
      <c r="M3" s="81" t="n">
        <v>11</v>
      </c>
      <c r="N3" s="84" t="n">
        <v>6</v>
      </c>
      <c r="O3" s="88" t="n">
        <v>6</v>
      </c>
      <c r="P3" s="91" t="n">
        <v>4</v>
      </c>
      <c r="Q3" s="95" t="n">
        <v>2</v>
      </c>
      <c r="R3" s="97" t="n">
        <v>9</v>
      </c>
      <c r="S3" s="101" t="n">
        <v>2</v>
      </c>
      <c r="T3" s="103" t="n">
        <v>5</v>
      </c>
      <c r="U3" s="106" t="n">
        <v>5</v>
      </c>
      <c r="V3" s="109" t="n">
        <v>4</v>
      </c>
      <c r="W3" s="112" t="n">
        <v>6</v>
      </c>
      <c r="X3" s="115" t="n">
        <v>4</v>
      </c>
      <c r="Y3" s="118" t="n">
        <v>5</v>
      </c>
      <c r="Z3" s="121" t="n">
        <v>2</v>
      </c>
      <c r="AA3" s="126" t="n">
        <v>3</v>
      </c>
      <c r="AB3" s="128" t="n">
        <v>6</v>
      </c>
      <c r="AC3" s="131" t="n">
        <v>8</v>
      </c>
      <c r="AD3" s="134" t="n">
        <v>6</v>
      </c>
      <c r="AE3" s="137" t="n">
        <v>5</v>
      </c>
      <c r="AF3" s="141" t="n">
        <v>1</v>
      </c>
      <c r="AG3" s="143" t="n">
        <v>5</v>
      </c>
      <c r="AH3" s="147" t="n">
        <v>3</v>
      </c>
      <c r="AI3" s="150" t="n">
        <v>1</v>
      </c>
      <c r="AJ3" s="153" t="n">
        <v>5</v>
      </c>
      <c r="AK3" s="153" t="n">
        <v>6</v>
      </c>
      <c r="AL3" s="155" t="n">
        <v>12</v>
      </c>
      <c r="AM3" s="158" t="n">
        <v>8</v>
      </c>
      <c r="AN3" s="161" t="n">
        <v>2</v>
      </c>
      <c r="AO3" s="161" t="n">
        <v>2</v>
      </c>
      <c r="AP3" s="164" t="n">
        <v>5</v>
      </c>
      <c r="AQ3" s="167" t="n">
        <v>9</v>
      </c>
      <c r="AR3" s="170" t="n">
        <v>4</v>
      </c>
      <c r="AS3" s="173" t="n">
        <v>11</v>
      </c>
      <c r="AT3" s="176" t="n">
        <v>8</v>
      </c>
      <c r="AU3" s="176" t="n">
        <v>6</v>
      </c>
      <c r="AV3" s="179" t="n">
        <v>5</v>
      </c>
      <c r="AW3" s="182" t="n">
        <v>8</v>
      </c>
      <c r="AX3" s="184" t="n">
        <v>3</v>
      </c>
      <c r="AY3" s="185" t="n">
        <v>8</v>
      </c>
      <c r="AZ3" s="188" t="n">
        <v>5</v>
      </c>
      <c r="BA3" s="191" t="n">
        <v>3</v>
      </c>
      <c r="BB3" s="194" t="n">
        <v>2</v>
      </c>
      <c r="BC3" s="197" t="n">
        <v>4</v>
      </c>
      <c r="BD3" s="200" t="n">
        <v>7</v>
      </c>
      <c r="BE3" s="204" t="n">
        <v>3</v>
      </c>
      <c r="BF3" s="203" t="n">
        <v>4</v>
      </c>
      <c r="BG3" s="206" t="n">
        <v>9</v>
      </c>
      <c r="BH3" s="210" t="n">
        <v>1</v>
      </c>
      <c r="BI3" s="209" t="n">
        <v>5</v>
      </c>
      <c r="BJ3" s="209" t="n">
        <v>4</v>
      </c>
      <c r="BK3" s="209" t="n">
        <v>6</v>
      </c>
      <c r="BL3" s="209" t="n">
        <v>8</v>
      </c>
      <c r="BM3" s="209" t="n">
        <v>6</v>
      </c>
      <c r="BN3" s="214" t="n">
        <v>2</v>
      </c>
      <c r="BO3" s="216" t="n">
        <v>4</v>
      </c>
      <c r="BP3" s="216" t="n">
        <v>5</v>
      </c>
      <c r="BQ3" s="214" t="n">
        <v>3</v>
      </c>
    </row>
    <row r="4" ht="15.75" customHeight="1" thickBot="1">
      <c r="A4" s="59" t="inlineStr">
        <is>
          <t>https://open.spotify.com/playlist/4PppwTQL5IEin89PGgrRa8</t>
        </is>
      </c>
      <c r="B4" s="42" t="inlineStr">
        <is>
          <t>JUMP ROPE 150 BPM 2026 ⏱️ CARDIO BEATS 🔥 WORKOUT HITS</t>
        </is>
      </c>
      <c r="C4" s="55" t="inlineStr">
        <is>
          <t>4PppwTQL5IEin89PGgrRa8</t>
        </is>
      </c>
      <c r="D4" s="52" t="n">
        <v>379</v>
      </c>
      <c r="E4" s="50" t="n">
        <v>5</v>
      </c>
      <c r="F4" s="50" t="n">
        <v>4</v>
      </c>
      <c r="G4" s="48" t="n">
        <v>3</v>
      </c>
      <c r="H4" s="48" t="n">
        <v>5</v>
      </c>
      <c r="I4" s="70" t="n">
        <v>1</v>
      </c>
      <c r="J4" s="72" t="n">
        <v>5</v>
      </c>
      <c r="K4" s="75" t="n">
        <v>5</v>
      </c>
      <c r="L4" s="78" t="n">
        <v>4</v>
      </c>
      <c r="M4" s="81" t="n">
        <v>5</v>
      </c>
      <c r="N4" s="85" t="n">
        <v>3</v>
      </c>
      <c r="O4" s="89" t="n">
        <v>2</v>
      </c>
      <c r="P4" s="92" t="n">
        <v>3</v>
      </c>
      <c r="Q4" s="95" t="n">
        <v>3</v>
      </c>
      <c r="R4" s="98" t="n">
        <v>0</v>
      </c>
      <c r="S4" s="101" t="n">
        <v>1</v>
      </c>
      <c r="T4" s="104" t="n">
        <v>3</v>
      </c>
      <c r="U4" s="107" t="n">
        <v>2</v>
      </c>
      <c r="V4" s="110" t="n">
        <v>2</v>
      </c>
      <c r="W4" s="113" t="n">
        <v>3</v>
      </c>
      <c r="X4" s="115" t="n">
        <v>6</v>
      </c>
      <c r="Y4" s="119" t="n">
        <v>2</v>
      </c>
      <c r="Z4" s="122" t="n">
        <v>5</v>
      </c>
      <c r="AA4" s="127" t="n">
        <v>0</v>
      </c>
      <c r="AB4" s="129" t="n">
        <v>3</v>
      </c>
      <c r="AC4" s="132" t="n">
        <v>2</v>
      </c>
      <c r="AD4" s="134" t="n">
        <v>4</v>
      </c>
      <c r="AE4" s="138" t="n">
        <v>0</v>
      </c>
      <c r="AF4" s="141" t="n">
        <v>3</v>
      </c>
      <c r="AG4" s="143" t="n">
        <v>4</v>
      </c>
      <c r="AH4" s="147" t="n">
        <v>2</v>
      </c>
      <c r="AI4" s="150" t="n">
        <v>2</v>
      </c>
      <c r="AJ4" s="153" t="n">
        <v>4</v>
      </c>
      <c r="AK4" s="152" t="n">
        <v>3</v>
      </c>
      <c r="AL4" s="156" t="n">
        <v>0</v>
      </c>
      <c r="AM4" s="159" t="n">
        <v>2</v>
      </c>
      <c r="AN4" s="161" t="n">
        <v>2</v>
      </c>
      <c r="AO4" s="161" t="n">
        <v>2</v>
      </c>
      <c r="AP4" s="164" t="n">
        <v>5</v>
      </c>
      <c r="AQ4" s="167" t="n">
        <v>5</v>
      </c>
      <c r="AR4" s="171" t="n">
        <v>3</v>
      </c>
      <c r="AS4" s="174" t="n">
        <v>1</v>
      </c>
      <c r="AT4" s="177" t="n">
        <v>3</v>
      </c>
      <c r="AU4" s="176" t="n">
        <v>4</v>
      </c>
      <c r="AV4" s="180" t="n">
        <v>3</v>
      </c>
      <c r="AW4" s="183" t="n">
        <v>-1</v>
      </c>
      <c r="AX4" s="184" t="n">
        <v>3</v>
      </c>
      <c r="AY4" s="185" t="n">
        <v>5</v>
      </c>
      <c r="AZ4" s="189" t="n">
        <v>0</v>
      </c>
      <c r="BA4" s="191" t="n">
        <v>2</v>
      </c>
      <c r="BB4" s="195" t="n">
        <v>6</v>
      </c>
      <c r="BC4" s="198" t="n">
        <v>2</v>
      </c>
      <c r="BD4" s="201" t="n">
        <v>1</v>
      </c>
      <c r="BE4" s="204" t="n">
        <v>1</v>
      </c>
      <c r="BF4" s="203" t="n">
        <v>4</v>
      </c>
      <c r="BG4" s="207" t="n">
        <v>3</v>
      </c>
      <c r="BH4" s="209" t="n">
        <v>4</v>
      </c>
      <c r="BI4" s="209" t="n">
        <v>8</v>
      </c>
      <c r="BJ4" s="210" t="n">
        <v>3</v>
      </c>
      <c r="BK4" s="209" t="n">
        <v>5</v>
      </c>
      <c r="BL4" s="209" t="n">
        <v>5</v>
      </c>
      <c r="BM4" s="209" t="n">
        <v>5</v>
      </c>
      <c r="BN4" s="214" t="n">
        <v>1</v>
      </c>
      <c r="BO4" s="214" t="n">
        <v>1</v>
      </c>
      <c r="BP4" s="216" t="n">
        <v>5</v>
      </c>
      <c r="BQ4" s="214" t="n">
        <v>1</v>
      </c>
    </row>
    <row r="5" ht="15.75" customHeight="1" thickBot="1">
      <c r="A5" s="59" t="inlineStr">
        <is>
          <t>https://open.spotify.com/playlist/3ujniTOeTw389Pr0yqAMfc</t>
        </is>
      </c>
      <c r="B5" s="42" t="inlineStr">
        <is>
          <t>YOGA INSTRUMENTAL MUSIC 2026 🌸 CHILL VIBES 🌿 RELAXING FLOW</t>
        </is>
      </c>
      <c r="C5" s="55" t="inlineStr">
        <is>
          <t>3ujniTOeTw389Pr0yqAMfc</t>
        </is>
      </c>
      <c r="D5" s="52" t="n">
        <v>323</v>
      </c>
      <c r="E5" s="50" t="n">
        <v>2</v>
      </c>
      <c r="F5" s="50" t="n">
        <v>-1</v>
      </c>
      <c r="G5" s="48" t="n">
        <v>4</v>
      </c>
      <c r="H5" s="48" t="n">
        <v>3</v>
      </c>
      <c r="I5" s="70" t="n">
        <v>1</v>
      </c>
      <c r="J5" s="73" t="n">
        <v>2</v>
      </c>
      <c r="K5" s="76" t="n">
        <v>0</v>
      </c>
      <c r="L5" s="79" t="n">
        <v>1</v>
      </c>
      <c r="M5" s="81" t="n">
        <v>4</v>
      </c>
      <c r="N5" s="85" t="n">
        <v>3</v>
      </c>
      <c r="O5" s="89" t="n">
        <v>3</v>
      </c>
      <c r="P5" s="91" t="n">
        <v>7</v>
      </c>
      <c r="Q5" s="94" t="n">
        <v>4</v>
      </c>
      <c r="R5" s="99" t="n">
        <v>3</v>
      </c>
      <c r="S5" s="102" t="n">
        <v>0</v>
      </c>
      <c r="T5" s="103" t="n">
        <v>5</v>
      </c>
      <c r="U5" s="107" t="n">
        <v>3</v>
      </c>
      <c r="V5" s="109" t="n">
        <v>9</v>
      </c>
      <c r="W5" s="112" t="n">
        <v>9</v>
      </c>
      <c r="X5" s="115" t="n">
        <v>4</v>
      </c>
      <c r="Y5" s="118" t="n">
        <v>5</v>
      </c>
      <c r="Z5" s="123" t="n">
        <v>-1</v>
      </c>
      <c r="AA5" s="125" t="n">
        <v>4</v>
      </c>
      <c r="AB5" s="129" t="n">
        <v>3</v>
      </c>
      <c r="AC5" s="131" t="n">
        <v>6</v>
      </c>
      <c r="AD5" s="135" t="n">
        <v>2</v>
      </c>
      <c r="AE5" s="139" t="n">
        <v>3</v>
      </c>
      <c r="AF5" s="141" t="n">
        <v>2</v>
      </c>
      <c r="AG5" s="144" t="n">
        <v>3</v>
      </c>
      <c r="AH5" s="147" t="n">
        <v>1</v>
      </c>
      <c r="AI5" s="151" t="n">
        <v>0</v>
      </c>
      <c r="AJ5" s="153" t="n">
        <v>6</v>
      </c>
      <c r="AK5" s="152" t="n">
        <v>3</v>
      </c>
      <c r="AL5" s="156" t="n">
        <v>0</v>
      </c>
      <c r="AM5" s="160" t="n">
        <v>0</v>
      </c>
      <c r="AN5" s="161" t="n">
        <v>2</v>
      </c>
      <c r="AO5" s="161" t="n">
        <v>2</v>
      </c>
      <c r="AP5" s="165" t="n">
        <v>1</v>
      </c>
      <c r="AQ5" s="168" t="n">
        <v>1</v>
      </c>
      <c r="AR5" s="171" t="n">
        <v>2</v>
      </c>
      <c r="AS5" s="174" t="n">
        <v>2</v>
      </c>
      <c r="AT5" s="177" t="n">
        <v>2</v>
      </c>
      <c r="AU5" s="178" t="n">
        <v>0</v>
      </c>
      <c r="AV5" s="179" t="n">
        <v>4</v>
      </c>
      <c r="AW5" s="184" t="n">
        <v>2</v>
      </c>
      <c r="AX5" s="184" t="n">
        <v>2</v>
      </c>
      <c r="AY5" s="186" t="n">
        <v>1</v>
      </c>
      <c r="AZ5" s="190" t="n">
        <v>2</v>
      </c>
      <c r="BA5" s="191" t="n">
        <v>1</v>
      </c>
      <c r="BB5" s="194" t="n">
        <v>1</v>
      </c>
      <c r="BC5" s="199" t="n">
        <v>0</v>
      </c>
      <c r="BD5" s="201" t="n">
        <v>2</v>
      </c>
      <c r="BE5" s="204" t="n">
        <v>2</v>
      </c>
      <c r="BF5" s="204" t="n">
        <v>3</v>
      </c>
      <c r="BG5" s="206" t="n">
        <v>6</v>
      </c>
      <c r="BH5" s="211" t="n">
        <v>0</v>
      </c>
      <c r="BI5" s="209" t="n">
        <v>5</v>
      </c>
      <c r="BJ5" s="210" t="n">
        <v>3</v>
      </c>
      <c r="BK5" s="211" t="n">
        <v>0</v>
      </c>
      <c r="BL5" s="210" t="n">
        <v>1</v>
      </c>
      <c r="BM5" s="211" t="n">
        <v>0</v>
      </c>
      <c r="BN5" s="214" t="n">
        <v>1</v>
      </c>
      <c r="BO5" s="214" t="n">
        <v>1</v>
      </c>
      <c r="BP5" s="215" t="n">
        <v>0</v>
      </c>
      <c r="BQ5" s="215" t="n">
        <v>-1</v>
      </c>
    </row>
    <row r="6" ht="15.75" customHeight="1" thickBot="1">
      <c r="A6" s="59" t="inlineStr">
        <is>
          <t>https://open.spotify.com/playlist/2As1rpvNBf5cwK9XlKBdxy</t>
        </is>
      </c>
      <c r="B6" s="42" t="inlineStr">
        <is>
          <t xml:space="preserve">ZEN BUDDHISM MEDITATION 2026 🧘‍♂️ INNER PEACE 🌿 CALM FOCUS      </t>
        </is>
      </c>
      <c r="C6" s="55" t="inlineStr">
        <is>
          <t>2As1rpvNBf5cwK9XlKBdxy</t>
        </is>
      </c>
      <c r="D6" s="52" t="n">
        <v>303</v>
      </c>
      <c r="E6" s="50" t="n">
        <v>0</v>
      </c>
      <c r="F6" s="50" t="n">
        <v>5</v>
      </c>
      <c r="G6" s="48" t="n">
        <v>0</v>
      </c>
      <c r="H6" s="48" t="n">
        <v>3</v>
      </c>
      <c r="I6" s="70" t="n">
        <v>2</v>
      </c>
      <c r="J6" s="73" t="n">
        <v>3</v>
      </c>
      <c r="K6" s="77" t="n">
        <v>3</v>
      </c>
      <c r="L6" s="79" t="n">
        <v>1</v>
      </c>
      <c r="M6" s="82" t="n">
        <v>1</v>
      </c>
      <c r="N6" s="85" t="n">
        <v>2</v>
      </c>
      <c r="O6" s="89" t="n">
        <v>2</v>
      </c>
      <c r="P6" s="92" t="n">
        <v>2</v>
      </c>
      <c r="Q6" s="95" t="n">
        <v>1</v>
      </c>
      <c r="R6" s="99" t="n">
        <v>2</v>
      </c>
      <c r="S6" s="101" t="n">
        <v>3</v>
      </c>
      <c r="T6" s="104" t="n">
        <v>1</v>
      </c>
      <c r="U6" s="108" t="n">
        <v>-1</v>
      </c>
      <c r="V6" s="110" t="n">
        <v>2</v>
      </c>
      <c r="W6" s="112" t="n">
        <v>4</v>
      </c>
      <c r="X6" s="116" t="n">
        <v>3</v>
      </c>
      <c r="Y6" s="118" t="n">
        <v>4</v>
      </c>
      <c r="Z6" s="121" t="n">
        <v>1</v>
      </c>
      <c r="AA6" s="126" t="n">
        <v>1</v>
      </c>
      <c r="AB6" s="129" t="n">
        <v>3</v>
      </c>
      <c r="AC6" s="132" t="n">
        <v>1</v>
      </c>
      <c r="AD6" s="135" t="n">
        <v>2</v>
      </c>
      <c r="AE6" s="139" t="n">
        <v>2</v>
      </c>
      <c r="AF6" s="141" t="n">
        <v>3</v>
      </c>
      <c r="AG6" s="145" t="n">
        <v>0</v>
      </c>
      <c r="AH6" s="147" t="n">
        <v>2</v>
      </c>
      <c r="AI6" s="149" t="n">
        <v>6</v>
      </c>
      <c r="AJ6" s="153" t="n">
        <v>4</v>
      </c>
      <c r="AK6" s="153" t="n">
        <v>4</v>
      </c>
      <c r="AL6" s="157" t="n">
        <v>3</v>
      </c>
      <c r="AM6" s="159" t="n">
        <v>3</v>
      </c>
      <c r="AN6" s="161" t="n">
        <v>3</v>
      </c>
      <c r="AO6" s="161" t="n">
        <v>3</v>
      </c>
      <c r="AP6" s="165" t="n">
        <v>1</v>
      </c>
      <c r="AQ6" s="168" t="n">
        <v>2</v>
      </c>
      <c r="AR6" s="171" t="n">
        <v>2</v>
      </c>
      <c r="AS6" s="175" t="n">
        <v>0</v>
      </c>
      <c r="AT6" s="178" t="n">
        <v>0</v>
      </c>
      <c r="AU6" s="177" t="n">
        <v>2</v>
      </c>
      <c r="AV6" s="180" t="n">
        <v>1</v>
      </c>
      <c r="AW6" s="184" t="n">
        <v>1</v>
      </c>
      <c r="AX6" s="184" t="n">
        <v>2</v>
      </c>
      <c r="AY6" s="186" t="n">
        <v>2</v>
      </c>
      <c r="AZ6" s="188" t="n">
        <v>4</v>
      </c>
      <c r="BA6" s="191" t="n">
        <v>2</v>
      </c>
      <c r="BB6" s="196" t="n">
        <v>0</v>
      </c>
      <c r="BC6" s="198" t="n">
        <v>1</v>
      </c>
      <c r="BD6" s="201" t="n">
        <v>3</v>
      </c>
      <c r="BE6" s="204" t="n">
        <v>1</v>
      </c>
      <c r="BF6" s="204" t="n">
        <v>3</v>
      </c>
      <c r="BG6" s="207" t="n">
        <v>2</v>
      </c>
      <c r="BH6" s="210" t="n">
        <v>3</v>
      </c>
      <c r="BI6" s="209" t="n">
        <v>6</v>
      </c>
      <c r="BJ6" s="210" t="n">
        <v>2</v>
      </c>
      <c r="BK6" s="210" t="n">
        <v>1</v>
      </c>
      <c r="BL6" s="210" t="n">
        <v>1</v>
      </c>
      <c r="BM6" s="210" t="n">
        <v>3</v>
      </c>
      <c r="BN6" s="215" t="n">
        <v>0</v>
      </c>
      <c r="BO6" s="215" t="n">
        <v>0</v>
      </c>
      <c r="BP6" s="214" t="n">
        <v>1</v>
      </c>
      <c r="BQ6" s="214" t="n">
        <v>3</v>
      </c>
    </row>
    <row r="7" ht="15.75" customHeight="1" thickBot="1">
      <c r="A7" s="59" t="inlineStr">
        <is>
          <t>https://open.spotify.com/playlist/6WA06xeA5UbI06o4QgtC7j</t>
        </is>
      </c>
      <c r="B7" s="43" t="inlineStr">
        <is>
          <t>LUXURY HOTEL LOUNGE 2026 ✨ CHILLOUT 🎶 ELEGANT VIBES</t>
        </is>
      </c>
      <c r="C7" s="55" t="inlineStr">
        <is>
          <t>6WA06xeA5UbI06o4QgtC7j</t>
        </is>
      </c>
      <c r="D7" s="53" t="n">
        <v>311</v>
      </c>
      <c r="E7" s="50" t="n">
        <v>5</v>
      </c>
      <c r="F7" s="50" t="n">
        <v>1</v>
      </c>
      <c r="G7" s="48" t="n">
        <v>-1</v>
      </c>
      <c r="H7" s="48" t="n">
        <v>3</v>
      </c>
      <c r="I7" s="70" t="n">
        <v>1</v>
      </c>
      <c r="J7" s="74" t="n">
        <v>0</v>
      </c>
      <c r="K7" s="77" t="n">
        <v>1</v>
      </c>
      <c r="L7" s="79" t="n">
        <v>2</v>
      </c>
      <c r="M7" s="81" t="n">
        <v>7</v>
      </c>
      <c r="N7" s="84" t="n">
        <v>6</v>
      </c>
      <c r="O7" s="88" t="n">
        <v>6</v>
      </c>
      <c r="P7" s="91" t="n">
        <v>9</v>
      </c>
      <c r="Q7" s="94" t="n">
        <v>4</v>
      </c>
      <c r="R7" s="97" t="n">
        <v>4</v>
      </c>
      <c r="S7" s="100" t="n">
        <v>4</v>
      </c>
      <c r="T7" s="103" t="n">
        <v>5</v>
      </c>
      <c r="U7" s="107" t="n">
        <v>1</v>
      </c>
      <c r="V7" s="109" t="n">
        <v>4</v>
      </c>
      <c r="W7" s="113" t="n">
        <v>2</v>
      </c>
      <c r="X7" s="115" t="n">
        <v>4</v>
      </c>
      <c r="Y7" s="118" t="n">
        <v>5</v>
      </c>
      <c r="Z7" s="122" t="n">
        <v>5</v>
      </c>
      <c r="AA7" s="126" t="n">
        <v>3</v>
      </c>
      <c r="AB7" s="128" t="n">
        <v>5</v>
      </c>
      <c r="AC7" s="131" t="n">
        <v>6</v>
      </c>
      <c r="AD7" s="134" t="n">
        <v>4</v>
      </c>
      <c r="AE7" s="139" t="n">
        <v>2</v>
      </c>
      <c r="AF7" s="141" t="n">
        <v>1</v>
      </c>
      <c r="AG7" s="144" t="n">
        <v>2</v>
      </c>
      <c r="AH7" s="147" t="n">
        <v>3</v>
      </c>
      <c r="AI7" s="150" t="n">
        <v>1</v>
      </c>
      <c r="AJ7" s="152" t="n">
        <v>3</v>
      </c>
      <c r="AK7" s="152" t="n">
        <v>2</v>
      </c>
      <c r="AL7" s="157" t="n">
        <v>3</v>
      </c>
      <c r="AM7" s="159" t="n">
        <v>3</v>
      </c>
      <c r="AN7" s="162" t="n">
        <v>1</v>
      </c>
      <c r="AO7" s="162" t="n">
        <v>1</v>
      </c>
      <c r="AP7" s="166" t="n">
        <v>0</v>
      </c>
      <c r="AQ7" s="168" t="n">
        <v>2</v>
      </c>
      <c r="AR7" s="171" t="n">
        <v>1</v>
      </c>
      <c r="AS7" s="173" t="n">
        <v>6</v>
      </c>
      <c r="AT7" s="177" t="n">
        <v>2</v>
      </c>
      <c r="AU7" s="177" t="n">
        <v>3</v>
      </c>
      <c r="AV7" s="180" t="n">
        <v>2</v>
      </c>
      <c r="AW7" s="184" t="n">
        <v>1</v>
      </c>
      <c r="AX7" s="184" t="n">
        <v>1</v>
      </c>
      <c r="AY7" s="187" t="n">
        <v>0</v>
      </c>
      <c r="AZ7" s="190" t="n">
        <v>1</v>
      </c>
      <c r="BA7" s="192" t="n">
        <v>0</v>
      </c>
      <c r="BB7" s="196" t="n">
        <v>0</v>
      </c>
      <c r="BC7" s="198" t="n">
        <v>2</v>
      </c>
      <c r="BD7" s="201" t="n">
        <v>1</v>
      </c>
      <c r="BE7" s="204" t="n">
        <v>3</v>
      </c>
      <c r="BF7" s="204" t="n">
        <v>1</v>
      </c>
      <c r="BG7" s="207" t="n">
        <v>3</v>
      </c>
      <c r="BH7" s="210" t="n">
        <v>3</v>
      </c>
      <c r="BI7" s="210" t="n">
        <v>3</v>
      </c>
      <c r="BJ7" s="210" t="n">
        <v>1</v>
      </c>
      <c r="BK7" s="211" t="n">
        <v>0</v>
      </c>
      <c r="BL7" s="210" t="n">
        <v>2</v>
      </c>
      <c r="BM7" s="211" t="n">
        <v>-1</v>
      </c>
      <c r="BN7" s="214" t="n">
        <v>1</v>
      </c>
      <c r="BO7" s="215" t="n">
        <v>0</v>
      </c>
      <c r="BP7" s="215" t="n">
        <v>0</v>
      </c>
      <c r="BQ7" s="214" t="n">
        <v>2</v>
      </c>
    </row>
    <row r="8" ht="15.75" customHeight="1" thickBot="1">
      <c r="A8" s="59" t="inlineStr">
        <is>
          <t>https://open.spotify.com/playlist/6YWX5ByctWFb2nsQaY6r3G</t>
        </is>
      </c>
      <c r="B8" s="43" t="inlineStr">
        <is>
          <t>ZUMBA BEATS 140-150 BPM 2026 💃 ZUMBA WORKOUT 🔥 FITNESS DANCE MIX</t>
        </is>
      </c>
      <c r="C8" s="55" t="inlineStr">
        <is>
          <t>6YWX5ByctWFb2nsQaY6r3G</t>
        </is>
      </c>
      <c r="D8" s="53" t="n">
        <v>177</v>
      </c>
      <c r="E8" s="50" t="n">
        <v>2</v>
      </c>
      <c r="F8" s="50" t="n">
        <v>0</v>
      </c>
      <c r="G8" s="48" t="n">
        <v>1</v>
      </c>
      <c r="H8" s="48" t="n">
        <v>-1</v>
      </c>
      <c r="I8" s="71" t="n">
        <v>0</v>
      </c>
      <c r="J8" s="73" t="n">
        <v>2</v>
      </c>
      <c r="K8" s="77" t="n">
        <v>1</v>
      </c>
      <c r="L8" s="80" t="n">
        <v>0</v>
      </c>
      <c r="M8" s="83" t="n">
        <v>0</v>
      </c>
      <c r="N8" s="85" t="n">
        <v>1</v>
      </c>
      <c r="O8" s="89" t="n">
        <v>2</v>
      </c>
      <c r="P8" s="92" t="n">
        <v>2</v>
      </c>
      <c r="Q8" s="95" t="n">
        <v>1</v>
      </c>
      <c r="R8" s="98" t="n">
        <v>0</v>
      </c>
      <c r="S8" s="101" t="n">
        <v>1</v>
      </c>
      <c r="T8" s="104" t="n">
        <v>3</v>
      </c>
      <c r="U8" s="107" t="n">
        <v>3</v>
      </c>
      <c r="V8" s="111" t="n">
        <v>0</v>
      </c>
      <c r="W8" s="114" t="n">
        <v>0</v>
      </c>
      <c r="X8" s="117" t="n">
        <v>0</v>
      </c>
      <c r="Y8" s="120" t="n">
        <v>0</v>
      </c>
      <c r="Z8" s="123" t="n">
        <v>0</v>
      </c>
      <c r="AA8" s="127" t="n">
        <v>0</v>
      </c>
      <c r="AB8" s="130" t="n">
        <v>0</v>
      </c>
      <c r="AC8" s="132" t="n">
        <v>1</v>
      </c>
      <c r="AD8" s="135" t="n">
        <v>1</v>
      </c>
      <c r="AE8" s="139" t="n">
        <v>2</v>
      </c>
      <c r="AF8" s="141" t="n">
        <v>1</v>
      </c>
      <c r="AG8" s="145" t="n">
        <v>0</v>
      </c>
      <c r="AH8" s="147" t="n">
        <v>1</v>
      </c>
      <c r="AI8" s="150" t="n">
        <v>1</v>
      </c>
      <c r="AJ8" s="152" t="n">
        <v>1</v>
      </c>
      <c r="AK8" s="152" t="n">
        <v>1</v>
      </c>
      <c r="AL8" s="156" t="n">
        <v>0</v>
      </c>
      <c r="AM8" s="160" t="n">
        <v>0</v>
      </c>
      <c r="AN8" s="162" t="n">
        <v>1</v>
      </c>
      <c r="AO8" s="162" t="n">
        <v>0</v>
      </c>
      <c r="AP8" s="165" t="n">
        <v>2</v>
      </c>
      <c r="AQ8" s="168" t="n">
        <v>1</v>
      </c>
      <c r="AR8" s="172" t="n">
        <v>0</v>
      </c>
      <c r="AS8" s="174" t="n">
        <v>1</v>
      </c>
      <c r="AT8" s="177" t="n">
        <v>1</v>
      </c>
      <c r="AU8" s="177" t="n">
        <v>1</v>
      </c>
      <c r="AV8" s="180" t="n">
        <v>1</v>
      </c>
      <c r="AW8" s="183" t="n">
        <v>0</v>
      </c>
      <c r="AX8" s="184" t="n">
        <v>2</v>
      </c>
      <c r="AY8" s="187" t="n">
        <v>0</v>
      </c>
      <c r="AZ8" s="189" t="n">
        <v>0</v>
      </c>
      <c r="BA8" s="192" t="n">
        <v>0</v>
      </c>
      <c r="BB8" s="194" t="n">
        <v>1</v>
      </c>
      <c r="BC8" s="198" t="n">
        <v>1</v>
      </c>
      <c r="BD8" s="202" t="n">
        <v>0</v>
      </c>
      <c r="BE8" s="204" t="n">
        <v>2</v>
      </c>
      <c r="BF8" s="205" t="n">
        <v>0</v>
      </c>
      <c r="BG8" s="207" t="n">
        <v>2</v>
      </c>
      <c r="BH8" s="211" t="n">
        <v>0</v>
      </c>
      <c r="BI8" s="211" t="n">
        <v>0</v>
      </c>
      <c r="BJ8" s="210" t="n">
        <v>1</v>
      </c>
      <c r="BK8" s="210" t="n">
        <v>1</v>
      </c>
      <c r="BL8" s="210" t="n">
        <v>1</v>
      </c>
      <c r="BM8" s="211" t="n">
        <v>0</v>
      </c>
      <c r="BN8" s="215" t="n">
        <v>0</v>
      </c>
      <c r="BO8" s="215" t="n">
        <v>0</v>
      </c>
      <c r="BP8" s="215" t="n">
        <v>0</v>
      </c>
      <c r="BQ8" s="215" t="n">
        <v>0</v>
      </c>
    </row>
    <row r="9" ht="15.75" customHeight="1" thickBot="1">
      <c r="A9" s="59" t="inlineStr">
        <is>
          <t>https://open.spotify.com/playlist/46fOOGy5b5J4buNttN14VN</t>
        </is>
      </c>
      <c r="B9" s="43" t="inlineStr">
        <is>
          <t>TREADMILL GYM 2026 👟 RUNNING BEATS ⚡ SPINNING WORKOUT MUSIC</t>
        </is>
      </c>
      <c r="C9" s="55" t="inlineStr">
        <is>
          <t>46fOOGy5b5J4buNttN14VN</t>
        </is>
      </c>
      <c r="D9" s="53" t="n">
        <v>186</v>
      </c>
      <c r="E9" s="50" t="n">
        <v>2</v>
      </c>
      <c r="F9" s="50" t="n">
        <v>2</v>
      </c>
      <c r="G9" s="48" t="n">
        <v>2</v>
      </c>
      <c r="H9" s="48" t="n">
        <v>0</v>
      </c>
      <c r="I9" s="70" t="n">
        <v>3</v>
      </c>
      <c r="J9" s="74" t="n">
        <v>0</v>
      </c>
      <c r="K9" s="76" t="n">
        <v>0</v>
      </c>
      <c r="L9" s="79" t="n">
        <v>1</v>
      </c>
      <c r="M9" s="82" t="n">
        <v>3</v>
      </c>
      <c r="N9" s="85" t="n">
        <v>2</v>
      </c>
      <c r="O9" s="89" t="n">
        <v>3</v>
      </c>
      <c r="P9" s="93" t="n">
        <v>0</v>
      </c>
      <c r="Q9" s="96" t="n">
        <v>0</v>
      </c>
      <c r="R9" s="99" t="n">
        <v>1</v>
      </c>
      <c r="S9" s="102" t="n">
        <v>0</v>
      </c>
      <c r="T9" s="104" t="n">
        <v>2</v>
      </c>
      <c r="U9" s="108" t="n">
        <v>0</v>
      </c>
      <c r="V9" s="110" t="n">
        <v>2</v>
      </c>
      <c r="W9" s="112" t="n">
        <v>5</v>
      </c>
      <c r="X9" s="116" t="n">
        <v>1</v>
      </c>
      <c r="Y9" s="120" t="n">
        <v>0</v>
      </c>
      <c r="Z9" s="121" t="n">
        <v>3</v>
      </c>
      <c r="AA9" s="126" t="n">
        <v>1</v>
      </c>
      <c r="AB9" s="129" t="n">
        <v>1</v>
      </c>
      <c r="AC9" s="132" t="n">
        <v>1</v>
      </c>
      <c r="AD9" s="135" t="n">
        <v>1</v>
      </c>
      <c r="AE9" s="138" t="n">
        <v>0</v>
      </c>
      <c r="AF9" s="141" t="n">
        <v>2</v>
      </c>
      <c r="AG9" s="145" t="n">
        <v>0</v>
      </c>
      <c r="AH9" s="147" t="n">
        <v>2</v>
      </c>
      <c r="AI9" s="150" t="n">
        <v>3</v>
      </c>
      <c r="AJ9" s="154" t="n">
        <v>0</v>
      </c>
      <c r="AK9" s="152" t="n">
        <v>3</v>
      </c>
      <c r="AL9" s="156" t="n">
        <v>-1</v>
      </c>
      <c r="AM9" s="159" t="n">
        <v>1</v>
      </c>
      <c r="AN9" s="162" t="n">
        <v>1</v>
      </c>
      <c r="AO9" s="162" t="n">
        <v>0</v>
      </c>
      <c r="AP9" s="166" t="n">
        <v>0</v>
      </c>
      <c r="AQ9" s="168" t="n">
        <v>1</v>
      </c>
      <c r="AR9" s="171" t="n">
        <v>2</v>
      </c>
      <c r="AS9" s="174" t="n">
        <v>3</v>
      </c>
      <c r="AT9" s="177" t="n">
        <v>2</v>
      </c>
      <c r="AU9" s="178" t="n">
        <v>0</v>
      </c>
      <c r="AV9" s="180" t="n">
        <v>3</v>
      </c>
      <c r="AW9" s="183" t="n">
        <v>0</v>
      </c>
      <c r="AX9" s="183" t="n">
        <v>0</v>
      </c>
      <c r="AY9" s="187" t="n">
        <v>0</v>
      </c>
      <c r="AZ9" s="189" t="n">
        <v>0</v>
      </c>
      <c r="BA9" s="192" t="n">
        <v>0</v>
      </c>
      <c r="BB9" s="196" t="n">
        <v>0</v>
      </c>
      <c r="BC9" s="198" t="n">
        <v>2</v>
      </c>
      <c r="BD9" s="201" t="n">
        <v>1</v>
      </c>
      <c r="BE9" s="204" t="n">
        <v>1</v>
      </c>
      <c r="BF9" s="205" t="n">
        <v>0</v>
      </c>
      <c r="BG9" s="208" t="n">
        <v>0</v>
      </c>
      <c r="BH9" s="210" t="n">
        <v>1</v>
      </c>
      <c r="BI9" s="210" t="n">
        <v>1</v>
      </c>
      <c r="BJ9" s="211" t="n">
        <v>0</v>
      </c>
      <c r="BK9" s="210" t="n">
        <v>1</v>
      </c>
      <c r="BL9" s="211" t="n">
        <v>0</v>
      </c>
      <c r="BM9" s="211" t="n">
        <v>0</v>
      </c>
      <c r="BN9" s="215" t="n">
        <v>0</v>
      </c>
      <c r="BO9" s="214" t="n">
        <v>1</v>
      </c>
      <c r="BP9" s="215" t="n">
        <v>0</v>
      </c>
      <c r="BQ9" s="215" t="n">
        <v>-1</v>
      </c>
    </row>
    <row r="10" ht="15.75" customHeight="1" thickBot="1">
      <c r="A10" s="59" t="inlineStr">
        <is>
          <t>https://open.spotify.com/playlist/6FD9ynYoynGAV2ucH9nzbJ</t>
        </is>
      </c>
      <c r="B10" s="43" t="inlineStr">
        <is>
          <t>RAP LOVE SONGS 2026 💕 ROMANTIC HITS ❤️ HIP HOP BALLADS</t>
        </is>
      </c>
      <c r="C10" s="55" t="inlineStr">
        <is>
          <t>6FD9ynYoynGAV2ucH9nzbJ</t>
        </is>
      </c>
      <c r="D10" s="53" t="n">
        <v>170</v>
      </c>
      <c r="E10" s="50" t="n">
        <v>1</v>
      </c>
      <c r="F10" s="50" t="n">
        <v>1</v>
      </c>
      <c r="G10" s="48" t="n">
        <v>4</v>
      </c>
      <c r="H10" s="48" t="n">
        <v>2</v>
      </c>
      <c r="I10" s="71" t="n">
        <v>0</v>
      </c>
      <c r="J10" s="72" t="n">
        <v>4</v>
      </c>
      <c r="K10" s="76" t="n">
        <v>0</v>
      </c>
      <c r="L10" s="80" t="n">
        <v>0</v>
      </c>
      <c r="M10" s="82" t="n">
        <v>2</v>
      </c>
      <c r="N10" s="85" t="n">
        <v>3</v>
      </c>
      <c r="O10" s="89" t="n">
        <v>2</v>
      </c>
      <c r="P10" s="92" t="n">
        <v>2</v>
      </c>
      <c r="Q10" s="96" t="n">
        <v>0</v>
      </c>
      <c r="R10" s="98" t="n">
        <v>0</v>
      </c>
      <c r="S10" s="101" t="n">
        <v>2</v>
      </c>
      <c r="T10" s="104" t="n">
        <v>1</v>
      </c>
      <c r="U10" s="108" t="n">
        <v>0</v>
      </c>
      <c r="V10" s="110" t="n">
        <v>1</v>
      </c>
      <c r="W10" s="114" t="n">
        <v>-1</v>
      </c>
      <c r="X10" s="117" t="n">
        <v>0</v>
      </c>
      <c r="Y10" s="120" t="n">
        <v>0</v>
      </c>
      <c r="Z10" s="123" t="n">
        <v>0</v>
      </c>
      <c r="AA10" s="126" t="n">
        <v>1</v>
      </c>
      <c r="AB10" s="129" t="n">
        <v>1</v>
      </c>
      <c r="AC10" s="132" t="n">
        <v>1</v>
      </c>
      <c r="AD10" s="135" t="n">
        <v>3</v>
      </c>
      <c r="AE10" s="138" t="n">
        <v>0</v>
      </c>
      <c r="AF10" s="141" t="n">
        <v>2</v>
      </c>
      <c r="AG10" s="144" t="n">
        <v>1</v>
      </c>
      <c r="AH10" s="147" t="n">
        <v>1</v>
      </c>
      <c r="AI10" s="150" t="n">
        <v>2</v>
      </c>
      <c r="AJ10" s="154" t="n">
        <v>-1</v>
      </c>
      <c r="AK10" s="154" t="n">
        <v>0</v>
      </c>
      <c r="AL10" s="156" t="n">
        <v>0</v>
      </c>
      <c r="AM10" s="160" t="n">
        <v>0</v>
      </c>
      <c r="AN10" s="161" t="n">
        <v>2</v>
      </c>
      <c r="AO10" s="161" t="n">
        <v>2</v>
      </c>
      <c r="AP10" s="166" t="n">
        <v>0</v>
      </c>
      <c r="AQ10" s="169" t="n">
        <v>-1</v>
      </c>
      <c r="AR10" s="172" t="n">
        <v>0</v>
      </c>
      <c r="AS10" s="174" t="n">
        <v>1</v>
      </c>
      <c r="AT10" s="178" t="n">
        <v>0</v>
      </c>
      <c r="AU10" s="178" t="n">
        <v>-1</v>
      </c>
      <c r="AV10" s="180" t="n">
        <v>1</v>
      </c>
      <c r="AW10" s="183" t="n">
        <v>-1</v>
      </c>
      <c r="AX10" s="184" t="n">
        <v>1</v>
      </c>
      <c r="AY10" s="187" t="n">
        <v>0</v>
      </c>
      <c r="AZ10" s="189" t="n">
        <v>0</v>
      </c>
      <c r="BA10" s="192" t="n">
        <v>-1</v>
      </c>
      <c r="BB10" s="196" t="n">
        <v>0</v>
      </c>
      <c r="BC10" s="198" t="n">
        <v>2</v>
      </c>
      <c r="BD10" s="202" t="n">
        <v>0</v>
      </c>
      <c r="BE10" s="204" t="n">
        <v>1</v>
      </c>
      <c r="BF10" s="205" t="n">
        <v>0</v>
      </c>
      <c r="BG10" s="207" t="n">
        <v>1</v>
      </c>
      <c r="BH10" s="211" t="n">
        <v>0</v>
      </c>
      <c r="BI10" s="210" t="n">
        <v>1</v>
      </c>
      <c r="BJ10" s="210" t="n">
        <v>1</v>
      </c>
      <c r="BK10" s="210" t="n">
        <v>1</v>
      </c>
      <c r="BL10" s="210" t="n">
        <v>1</v>
      </c>
      <c r="BM10" s="210" t="n">
        <v>1</v>
      </c>
      <c r="BN10" s="215" t="n">
        <v>0</v>
      </c>
      <c r="BO10" s="214" t="n">
        <v>1</v>
      </c>
      <c r="BP10" s="215" t="n">
        <v>0</v>
      </c>
      <c r="BQ10" s="215" t="n">
        <v>0</v>
      </c>
    </row>
    <row r="11" ht="15.75" customHeight="1" thickBot="1">
      <c r="A11" s="60" t="inlineStr">
        <is>
          <t>https://open.spotify.com/playlist/3r2lhwSFsiOvfHpmFEwraD</t>
        </is>
      </c>
      <c r="B11" s="43" t="inlineStr">
        <is>
          <t>ASTRAL PROJECTION 2026 ✨ OUT OF BODY 🌌 BINAURAL BEATS</t>
        </is>
      </c>
      <c r="C11" s="55" t="inlineStr">
        <is>
          <t>3r2lhwSFsiOvfHpmFEwraD</t>
        </is>
      </c>
      <c r="D11" s="53" t="n">
        <v>216</v>
      </c>
      <c r="E11" s="50" t="n">
        <v>2</v>
      </c>
      <c r="F11" s="50" t="n">
        <v>1</v>
      </c>
      <c r="G11" s="48" t="n">
        <v>2</v>
      </c>
      <c r="H11" s="48" t="n">
        <v>0</v>
      </c>
      <c r="I11" s="70" t="n">
        <v>2</v>
      </c>
      <c r="J11" s="73" t="n">
        <v>2</v>
      </c>
      <c r="K11" s="75" t="n">
        <v>4</v>
      </c>
      <c r="L11" s="79" t="n">
        <v>2</v>
      </c>
      <c r="M11" s="82" t="n">
        <v>1</v>
      </c>
      <c r="N11" s="84" t="n">
        <v>5</v>
      </c>
      <c r="O11" s="90" t="n">
        <v>0</v>
      </c>
      <c r="P11" s="92" t="n">
        <v>2</v>
      </c>
      <c r="Q11" s="94" t="n">
        <v>6</v>
      </c>
      <c r="R11" s="99" t="n">
        <v>1</v>
      </c>
      <c r="S11" s="101" t="n">
        <v>1</v>
      </c>
      <c r="T11" s="104" t="n">
        <v>3</v>
      </c>
      <c r="U11" s="107" t="n">
        <v>1</v>
      </c>
      <c r="V11" s="110" t="n">
        <v>1</v>
      </c>
      <c r="W11" s="114" t="n">
        <v>0</v>
      </c>
      <c r="X11" s="116" t="n">
        <v>1</v>
      </c>
      <c r="Y11" s="119" t="n">
        <v>3</v>
      </c>
      <c r="Z11" s="121" t="n">
        <v>1</v>
      </c>
      <c r="AA11" s="126" t="n">
        <v>2</v>
      </c>
      <c r="AB11" s="129" t="n">
        <v>2</v>
      </c>
      <c r="AC11" s="132" t="n">
        <v>1</v>
      </c>
      <c r="AD11" s="135" t="n">
        <v>2</v>
      </c>
      <c r="AE11" s="138" t="n">
        <v>0</v>
      </c>
      <c r="AF11" s="141" t="n">
        <v>1</v>
      </c>
      <c r="AG11" s="144" t="n">
        <v>1</v>
      </c>
      <c r="AH11" s="147" t="n">
        <v>1</v>
      </c>
      <c r="AI11" s="150" t="n">
        <v>1</v>
      </c>
      <c r="AJ11" s="152" t="n">
        <v>1</v>
      </c>
      <c r="AK11" s="154" t="n">
        <v>0</v>
      </c>
      <c r="AL11" s="157" t="n">
        <v>1</v>
      </c>
      <c r="AM11" s="159" t="n">
        <v>1</v>
      </c>
      <c r="AN11" s="162" t="n">
        <v>2</v>
      </c>
      <c r="AO11" s="162" t="n">
        <v>1</v>
      </c>
      <c r="AP11" s="166" t="n">
        <v>0</v>
      </c>
      <c r="AQ11" s="168" t="n">
        <v>1</v>
      </c>
      <c r="AR11" s="171" t="n">
        <v>1</v>
      </c>
      <c r="AS11" s="174" t="n">
        <v>2</v>
      </c>
      <c r="AT11" s="177" t="n">
        <v>3</v>
      </c>
      <c r="AU11" s="177" t="n">
        <v>2</v>
      </c>
      <c r="AV11" s="180" t="n">
        <v>1</v>
      </c>
      <c r="AW11" s="182" t="n">
        <v>4</v>
      </c>
      <c r="AX11" s="183" t="n">
        <v>0</v>
      </c>
      <c r="AY11" s="186" t="n">
        <v>1</v>
      </c>
      <c r="AZ11" s="190" t="n">
        <v>1</v>
      </c>
      <c r="BA11" s="191" t="n">
        <v>1</v>
      </c>
      <c r="BB11" s="194" t="n">
        <v>1</v>
      </c>
      <c r="BC11" s="199" t="n">
        <v>0</v>
      </c>
      <c r="BD11" s="201" t="n">
        <v>2</v>
      </c>
      <c r="BE11" s="203" t="n">
        <v>4</v>
      </c>
      <c r="BF11" s="205" t="n">
        <v>0</v>
      </c>
      <c r="BG11" s="206" t="n">
        <v>4</v>
      </c>
      <c r="BH11" s="211" t="n">
        <v>0</v>
      </c>
      <c r="BI11" s="210" t="n">
        <v>3</v>
      </c>
      <c r="BJ11" s="210" t="n">
        <v>3</v>
      </c>
      <c r="BK11" s="211" t="n">
        <v>-2</v>
      </c>
      <c r="BL11" s="210" t="n">
        <v>3</v>
      </c>
      <c r="BM11" s="210" t="n">
        <v>1</v>
      </c>
      <c r="BN11" s="214" t="n">
        <v>3</v>
      </c>
      <c r="BO11" s="214" t="n">
        <v>1</v>
      </c>
      <c r="BP11" s="214" t="n">
        <v>1</v>
      </c>
      <c r="BQ11" s="214" t="n">
        <v>2</v>
      </c>
    </row>
    <row r="12" ht="15.75" customHeight="1" thickBot="1">
      <c r="A12" s="59" t="inlineStr">
        <is>
          <t>https://open.spotify.com/playlist/4CHrIx3CG98P2wBbuGwZN3</t>
        </is>
      </c>
      <c r="B12" s="43" t="inlineStr">
        <is>
          <t xml:space="preserve">CHANSONS POUR LES ENFANTS 2026 🇫🇷 🎵 TUNES AMUSANTES 🎵 FRENCH KIDS SONGS 2026 🇫🇷 </t>
        </is>
      </c>
      <c r="C12" s="55" t="inlineStr">
        <is>
          <t>4CHrIx3CG98P2wBbuGwZN3</t>
        </is>
      </c>
      <c r="D12" s="53" t="n">
        <v>179</v>
      </c>
      <c r="E12" s="50" t="n">
        <v>1</v>
      </c>
      <c r="F12" s="50" t="n">
        <v>2</v>
      </c>
      <c r="G12" s="48" t="n">
        <v>0</v>
      </c>
      <c r="H12" s="48" t="n">
        <v>1</v>
      </c>
      <c r="I12" s="71" t="n">
        <v>0</v>
      </c>
      <c r="J12" s="74" t="n">
        <v>0</v>
      </c>
      <c r="K12" s="77" t="n">
        <v>3</v>
      </c>
      <c r="L12" s="79" t="n">
        <v>3</v>
      </c>
      <c r="M12" s="82" t="n">
        <v>1</v>
      </c>
      <c r="N12" s="85" t="n">
        <v>1</v>
      </c>
      <c r="O12" s="89" t="n">
        <v>2</v>
      </c>
      <c r="P12" s="91" t="n">
        <v>4</v>
      </c>
      <c r="Q12" s="96" t="n">
        <v>0</v>
      </c>
      <c r="R12" s="99" t="n">
        <v>1</v>
      </c>
      <c r="S12" s="101" t="n">
        <v>1</v>
      </c>
      <c r="T12" s="105" t="n">
        <v>0</v>
      </c>
      <c r="U12" s="107" t="n">
        <v>3</v>
      </c>
      <c r="V12" s="110" t="n">
        <v>2</v>
      </c>
      <c r="W12" s="113" t="n">
        <v>1</v>
      </c>
      <c r="X12" s="116" t="n">
        <v>3</v>
      </c>
      <c r="Y12" s="119" t="n">
        <v>2</v>
      </c>
      <c r="Z12" s="121" t="n">
        <v>1</v>
      </c>
      <c r="AA12" s="126" t="n">
        <v>1</v>
      </c>
      <c r="AB12" s="130" t="n">
        <v>0</v>
      </c>
      <c r="AC12" s="132" t="n">
        <v>1</v>
      </c>
      <c r="AD12" s="135" t="n">
        <v>3</v>
      </c>
      <c r="AE12" s="139" t="n">
        <v>1</v>
      </c>
      <c r="AF12" s="142" t="n">
        <v>0</v>
      </c>
      <c r="AG12" s="145" t="n">
        <v>0</v>
      </c>
      <c r="AH12" s="148" t="n">
        <v>0</v>
      </c>
      <c r="AI12" s="150" t="n">
        <v>1</v>
      </c>
      <c r="AJ12" s="154" t="n">
        <v>0</v>
      </c>
      <c r="AK12" s="152" t="n">
        <v>2</v>
      </c>
      <c r="AL12" s="156" t="n">
        <v>0</v>
      </c>
      <c r="AM12" s="159" t="n">
        <v>1</v>
      </c>
      <c r="AN12" s="162" t="n">
        <v>1</v>
      </c>
      <c r="AO12" s="162" t="n">
        <v>0</v>
      </c>
      <c r="AP12" s="165" t="n">
        <v>1</v>
      </c>
      <c r="AQ12" s="169" t="n">
        <v>0</v>
      </c>
      <c r="AR12" s="172" t="n">
        <v>0</v>
      </c>
      <c r="AS12" s="175" t="n">
        <v>0</v>
      </c>
      <c r="AT12" s="178" t="n">
        <v>0</v>
      </c>
      <c r="AU12" s="177" t="n">
        <v>1</v>
      </c>
      <c r="AV12" s="181" t="n">
        <v>0</v>
      </c>
      <c r="AW12" s="184" t="n">
        <v>3</v>
      </c>
      <c r="AX12" s="183" t="n">
        <v>0</v>
      </c>
      <c r="AY12" s="186" t="n">
        <v>1</v>
      </c>
      <c r="AZ12" s="190" t="n">
        <v>1</v>
      </c>
      <c r="BA12" s="191" t="n">
        <v>1</v>
      </c>
      <c r="BB12" s="194" t="n">
        <v>1</v>
      </c>
      <c r="BC12" s="199" t="n">
        <v>0</v>
      </c>
      <c r="BD12" s="202" t="n">
        <v>-1</v>
      </c>
      <c r="BE12" s="204" t="n">
        <v>1</v>
      </c>
      <c r="BF12" s="205" t="n">
        <v>0</v>
      </c>
      <c r="BG12" s="208" t="n">
        <v>0</v>
      </c>
      <c r="BH12" s="211" t="n">
        <v>0</v>
      </c>
      <c r="BI12" s="211" t="n">
        <v>0</v>
      </c>
      <c r="BJ12" s="211" t="n">
        <v>0</v>
      </c>
      <c r="BK12" s="211" t="n">
        <v>0</v>
      </c>
      <c r="BL12" s="210" t="n">
        <v>1</v>
      </c>
      <c r="BM12" s="210" t="n">
        <v>1</v>
      </c>
      <c r="BN12" s="214" t="n">
        <v>1</v>
      </c>
      <c r="BO12" s="215" t="n">
        <v>0</v>
      </c>
      <c r="BP12" s="214" t="n">
        <v>1</v>
      </c>
      <c r="BQ12" s="214" t="n">
        <v>1</v>
      </c>
    </row>
    <row r="13" ht="15.75" customHeight="1" thickBot="1">
      <c r="A13" s="59" t="inlineStr">
        <is>
          <t>https://open.spotify.com/playlist/7yJioyPTyi1hxcQN6K861p</t>
        </is>
      </c>
      <c r="B13" s="43" t="inlineStr">
        <is>
          <t>WALGESÄNGE 2026 🌊 SANFTE KLÄNGE 🐋 MEERESRUHE</t>
        </is>
      </c>
      <c r="C13" s="55" t="inlineStr">
        <is>
          <t>7yJioyPTyi1hxcQN6K861p</t>
        </is>
      </c>
      <c r="D13" s="53" t="n">
        <v>239</v>
      </c>
      <c r="E13" s="50" t="n">
        <v>0</v>
      </c>
      <c r="F13" s="50" t="n">
        <v>2</v>
      </c>
      <c r="G13" s="48" t="n">
        <v>3</v>
      </c>
      <c r="H13" s="48" t="n">
        <v>3</v>
      </c>
      <c r="I13" s="70" t="n">
        <v>1</v>
      </c>
      <c r="J13" s="74" t="n">
        <v>0</v>
      </c>
      <c r="K13" s="77" t="n">
        <v>1</v>
      </c>
      <c r="L13" s="79" t="n">
        <v>1</v>
      </c>
      <c r="M13" s="83" t="n">
        <v>0</v>
      </c>
      <c r="N13" s="86" t="n">
        <v>-1</v>
      </c>
      <c r="O13" s="89" t="n">
        <v>2</v>
      </c>
      <c r="P13" s="91" t="n">
        <v>4</v>
      </c>
      <c r="Q13" s="96" t="n">
        <v>0</v>
      </c>
      <c r="R13" s="99" t="n">
        <v>3</v>
      </c>
      <c r="S13" s="102" t="n">
        <v>0</v>
      </c>
      <c r="T13" s="105" t="n">
        <v>0</v>
      </c>
      <c r="U13" s="107" t="n">
        <v>1</v>
      </c>
      <c r="V13" s="111" t="n">
        <v>0</v>
      </c>
      <c r="W13" s="113" t="n">
        <v>3</v>
      </c>
      <c r="X13" s="116" t="n">
        <v>2</v>
      </c>
      <c r="Y13" s="119" t="n">
        <v>3</v>
      </c>
      <c r="Z13" s="122" t="n">
        <v>4</v>
      </c>
      <c r="AA13" s="126" t="n">
        <v>3</v>
      </c>
      <c r="AB13" s="129" t="n">
        <v>2</v>
      </c>
      <c r="AC13" s="132" t="n">
        <v>1</v>
      </c>
      <c r="AD13" s="134" t="n">
        <v>4</v>
      </c>
      <c r="AE13" s="137" t="n">
        <v>4</v>
      </c>
      <c r="AF13" s="141" t="n">
        <v>1</v>
      </c>
      <c r="AG13" s="144" t="n">
        <v>3</v>
      </c>
      <c r="AH13" s="147" t="n">
        <v>1</v>
      </c>
      <c r="AI13" s="150" t="n">
        <v>1</v>
      </c>
      <c r="AJ13" s="153" t="n">
        <v>4</v>
      </c>
      <c r="AK13" s="152" t="n">
        <v>1</v>
      </c>
      <c r="AL13" s="155" t="n">
        <v>8</v>
      </c>
      <c r="AM13" s="159" t="n">
        <v>3</v>
      </c>
      <c r="AN13" s="162" t="n">
        <v>2</v>
      </c>
      <c r="AO13" s="162" t="n">
        <v>1</v>
      </c>
      <c r="AP13" s="165" t="n">
        <v>1</v>
      </c>
      <c r="AQ13" s="167" t="n">
        <v>4</v>
      </c>
      <c r="AR13" s="171" t="n">
        <v>2</v>
      </c>
      <c r="AS13" s="173" t="n">
        <v>4</v>
      </c>
      <c r="AT13" s="177" t="n">
        <v>1</v>
      </c>
      <c r="AU13" s="177" t="n">
        <v>3</v>
      </c>
      <c r="AV13" s="180" t="n">
        <v>2</v>
      </c>
      <c r="AW13" s="182" t="n">
        <v>6</v>
      </c>
      <c r="AX13" s="182" t="n">
        <v>4</v>
      </c>
      <c r="AY13" s="185" t="n">
        <v>5</v>
      </c>
      <c r="AZ13" s="189" t="n">
        <v>-1</v>
      </c>
      <c r="BA13" s="193" t="n">
        <v>4</v>
      </c>
      <c r="BB13" s="194" t="n">
        <v>3</v>
      </c>
      <c r="BC13" s="198" t="n">
        <v>1</v>
      </c>
      <c r="BD13" s="201" t="n">
        <v>2</v>
      </c>
      <c r="BE13" s="204" t="n">
        <v>1</v>
      </c>
      <c r="BF13" s="204" t="n">
        <v>2</v>
      </c>
      <c r="BG13" s="207" t="n">
        <v>2</v>
      </c>
      <c r="BH13" s="210" t="n">
        <v>3</v>
      </c>
      <c r="BI13" s="209" t="n">
        <v>4</v>
      </c>
      <c r="BJ13" s="210" t="n">
        <v>1</v>
      </c>
      <c r="BK13" s="210" t="n">
        <v>2</v>
      </c>
      <c r="BL13" s="210" t="n">
        <v>3</v>
      </c>
      <c r="BM13" s="209" t="n">
        <v>4</v>
      </c>
      <c r="BN13" s="214" t="n">
        <v>2</v>
      </c>
      <c r="BO13" s="214" t="n">
        <v>2</v>
      </c>
      <c r="BP13" s="215" t="n">
        <v>0</v>
      </c>
      <c r="BQ13" s="215" t="n">
        <v>-2</v>
      </c>
    </row>
    <row r="14" ht="15.75" customHeight="1" thickBot="1">
      <c r="A14" s="59" t="inlineStr">
        <is>
          <t>https://open.spotify.com/playlist/4CtXsmUTGWpFGhNGYxb9ic</t>
        </is>
      </c>
      <c r="B14" s="43" t="inlineStr">
        <is>
          <t>PILATES &amp; CHILL 2026 ✨ PILATES FLOW 🌿 CHILL BEATS</t>
        </is>
      </c>
      <c r="C14" s="55" t="inlineStr">
        <is>
          <t>4CtXsmUTGWpFGhNGYxb9ic</t>
        </is>
      </c>
      <c r="D14" s="53" t="n">
        <v>337</v>
      </c>
      <c r="E14" s="50" t="n">
        <v>3</v>
      </c>
      <c r="F14" s="50" t="n">
        <v>2</v>
      </c>
      <c r="G14" s="48" t="n">
        <v>6</v>
      </c>
      <c r="H14" s="48" t="n">
        <v>2</v>
      </c>
      <c r="I14" s="70" t="n">
        <v>2</v>
      </c>
      <c r="J14" s="72" t="n">
        <v>4</v>
      </c>
      <c r="K14" s="77" t="n">
        <v>1</v>
      </c>
      <c r="L14" s="79" t="n">
        <v>1</v>
      </c>
      <c r="M14" s="82" t="n">
        <v>2</v>
      </c>
      <c r="N14" s="84" t="n">
        <v>4</v>
      </c>
      <c r="O14" s="88" t="n">
        <v>4</v>
      </c>
      <c r="P14" s="91" t="n">
        <v>4</v>
      </c>
      <c r="Q14" s="94" t="n">
        <v>6</v>
      </c>
      <c r="R14" s="99" t="n">
        <v>1</v>
      </c>
      <c r="S14" s="102" t="n">
        <v>0</v>
      </c>
      <c r="T14" s="104" t="n">
        <v>1</v>
      </c>
      <c r="U14" s="107" t="n">
        <v>1</v>
      </c>
      <c r="V14" s="109" t="n">
        <v>9</v>
      </c>
      <c r="W14" s="113" t="n">
        <v>3</v>
      </c>
      <c r="X14" s="116" t="n">
        <v>2</v>
      </c>
      <c r="Y14" s="119" t="n">
        <v>2</v>
      </c>
      <c r="Z14" s="122" t="n">
        <v>5</v>
      </c>
      <c r="AA14" s="126" t="n">
        <v>2</v>
      </c>
      <c r="AB14" s="129" t="n">
        <v>3</v>
      </c>
      <c r="AC14" s="131" t="n">
        <v>5</v>
      </c>
      <c r="AD14" s="134" t="n">
        <v>11</v>
      </c>
      <c r="AE14" s="137" t="n">
        <v>7</v>
      </c>
      <c r="AF14" s="141" t="n">
        <v>3</v>
      </c>
      <c r="AG14" s="143" t="n">
        <v>4</v>
      </c>
      <c r="AH14" s="146" t="n">
        <v>4</v>
      </c>
      <c r="AI14" s="149" t="n">
        <v>5</v>
      </c>
      <c r="AJ14" s="153" t="n">
        <v>10</v>
      </c>
      <c r="AK14" s="153" t="n">
        <v>6</v>
      </c>
      <c r="AL14" s="156" t="n">
        <v>-1</v>
      </c>
      <c r="AM14" s="160" t="n">
        <v>0</v>
      </c>
      <c r="AN14" s="161" t="n">
        <v>4</v>
      </c>
      <c r="AO14" s="161" t="n">
        <v>3</v>
      </c>
      <c r="AP14" s="165" t="n">
        <v>2</v>
      </c>
      <c r="AQ14" s="167" t="n">
        <v>4</v>
      </c>
      <c r="AR14" s="170" t="n">
        <v>6</v>
      </c>
      <c r="AS14" s="173" t="n">
        <v>9</v>
      </c>
      <c r="AT14" s="177" t="n">
        <v>2</v>
      </c>
      <c r="AU14" s="177" t="n">
        <v>1</v>
      </c>
      <c r="AV14" s="179" t="n">
        <v>4</v>
      </c>
      <c r="AW14" s="184" t="n">
        <v>3</v>
      </c>
      <c r="AX14" s="182" t="n">
        <v>8</v>
      </c>
      <c r="AY14" s="186" t="n">
        <v>1</v>
      </c>
      <c r="AZ14" s="189" t="n">
        <v>0</v>
      </c>
      <c r="BA14" s="193" t="n">
        <v>4</v>
      </c>
      <c r="BB14" s="194" t="n">
        <v>2</v>
      </c>
      <c r="BC14" s="197" t="n">
        <v>4</v>
      </c>
      <c r="BD14" s="201" t="n">
        <v>3</v>
      </c>
      <c r="BE14" s="203" t="n">
        <v>8</v>
      </c>
      <c r="BF14" s="203" t="n">
        <v>4</v>
      </c>
      <c r="BG14" s="206" t="n">
        <v>6</v>
      </c>
      <c r="BH14" s="211" t="n">
        <v>0</v>
      </c>
      <c r="BI14" s="209" t="n">
        <v>8</v>
      </c>
      <c r="BJ14" s="209" t="n">
        <v>4</v>
      </c>
      <c r="BK14" s="209" t="n">
        <v>9</v>
      </c>
      <c r="BL14" s="210" t="n">
        <v>2</v>
      </c>
      <c r="BM14" s="209" t="n">
        <v>6</v>
      </c>
      <c r="BN14" s="214" t="n">
        <v>1</v>
      </c>
      <c r="BO14" s="214" t="n">
        <v>2</v>
      </c>
      <c r="BP14" s="214" t="n">
        <v>3</v>
      </c>
      <c r="BQ14" s="216" t="n">
        <v>9</v>
      </c>
    </row>
    <row r="15" ht="15.75" customHeight="1" thickBot="1">
      <c r="A15" s="59" t="inlineStr">
        <is>
          <t>https://open.spotify.com/playlist/76HtMLhQFfepRlFwr1yKQC</t>
        </is>
      </c>
      <c r="B15" s="43" t="inlineStr">
        <is>
          <t>RELAXING DRUMMING MEDITATION 2026 🥁 CALM VIBES 🌿 HEALING RHYTHMS</t>
        </is>
      </c>
      <c r="C15" s="55" t="inlineStr">
        <is>
          <t>76HtMLhQFfepRlFwr1yKQC</t>
        </is>
      </c>
      <c r="D15" s="53" t="n">
        <v>184</v>
      </c>
      <c r="E15" s="50" t="n">
        <v>1</v>
      </c>
      <c r="F15" s="50" t="n">
        <v>0</v>
      </c>
      <c r="G15" s="48" t="n">
        <v>1</v>
      </c>
      <c r="H15" s="48" t="n">
        <v>4</v>
      </c>
      <c r="I15" s="70" t="n">
        <v>1</v>
      </c>
      <c r="J15" s="73" t="n">
        <v>1</v>
      </c>
      <c r="K15" s="76" t="n">
        <v>0</v>
      </c>
      <c r="L15" s="79" t="n">
        <v>2</v>
      </c>
      <c r="M15" s="82" t="n">
        <v>2</v>
      </c>
      <c r="N15" s="85" t="n">
        <v>1</v>
      </c>
      <c r="O15" s="89" t="n">
        <v>2</v>
      </c>
      <c r="P15" s="92" t="n">
        <v>1</v>
      </c>
      <c r="Q15" s="94" t="n">
        <v>4</v>
      </c>
      <c r="R15" s="99" t="n">
        <v>2</v>
      </c>
      <c r="S15" s="101" t="n">
        <v>2</v>
      </c>
      <c r="T15" s="104" t="n">
        <v>1</v>
      </c>
      <c r="U15" s="107" t="n">
        <v>2</v>
      </c>
      <c r="V15" s="110" t="n">
        <v>3</v>
      </c>
      <c r="W15" s="113" t="n">
        <v>1</v>
      </c>
      <c r="X15" s="117" t="n">
        <v>0</v>
      </c>
      <c r="Y15" s="119" t="n">
        <v>2</v>
      </c>
      <c r="Z15" s="121" t="n">
        <v>1</v>
      </c>
      <c r="AA15" s="127" t="n">
        <v>0</v>
      </c>
      <c r="AB15" s="129" t="n">
        <v>1</v>
      </c>
      <c r="AC15" s="132" t="n">
        <v>1</v>
      </c>
      <c r="AD15" s="135" t="n">
        <v>3</v>
      </c>
      <c r="AE15" s="139" t="n">
        <v>3</v>
      </c>
      <c r="AF15" s="141" t="n">
        <v>2</v>
      </c>
      <c r="AG15" s="144" t="n">
        <v>2</v>
      </c>
      <c r="AH15" s="147" t="n">
        <v>3</v>
      </c>
      <c r="AI15" s="150" t="n">
        <v>2</v>
      </c>
      <c r="AJ15" s="154" t="n">
        <v>0</v>
      </c>
      <c r="AK15" s="152" t="n">
        <v>1</v>
      </c>
      <c r="AL15" s="157" t="n">
        <v>1</v>
      </c>
      <c r="AM15" s="159" t="n">
        <v>1</v>
      </c>
      <c r="AN15" s="162" t="n">
        <v>1</v>
      </c>
      <c r="AO15" s="162" t="n">
        <v>0</v>
      </c>
      <c r="AP15" s="165" t="n">
        <v>1</v>
      </c>
      <c r="AQ15" s="169" t="n">
        <v>0</v>
      </c>
      <c r="AR15" s="171" t="n">
        <v>1</v>
      </c>
      <c r="AS15" s="174" t="n">
        <v>2</v>
      </c>
      <c r="AT15" s="177" t="n">
        <v>3</v>
      </c>
      <c r="AU15" s="177" t="n">
        <v>1</v>
      </c>
      <c r="AV15" s="181" t="n">
        <v>0</v>
      </c>
      <c r="AW15" s="184" t="n">
        <v>1</v>
      </c>
      <c r="AX15" s="182" t="n">
        <v>4</v>
      </c>
      <c r="AY15" s="185" t="n">
        <v>4</v>
      </c>
      <c r="AZ15" s="190" t="n">
        <v>1</v>
      </c>
      <c r="BA15" s="191" t="n">
        <v>1</v>
      </c>
      <c r="BB15" s="196" t="n">
        <v>0</v>
      </c>
      <c r="BC15" s="198" t="n">
        <v>2</v>
      </c>
      <c r="BD15" s="201" t="n">
        <v>2</v>
      </c>
      <c r="BE15" s="204" t="n">
        <v>1</v>
      </c>
      <c r="BF15" s="205" t="n">
        <v>0</v>
      </c>
      <c r="BG15" s="207" t="n">
        <v>1</v>
      </c>
      <c r="BH15" s="210" t="n">
        <v>2</v>
      </c>
      <c r="BI15" s="209" t="n">
        <v>4</v>
      </c>
      <c r="BJ15" s="210" t="n">
        <v>3</v>
      </c>
      <c r="BK15" s="211" t="n">
        <v>0</v>
      </c>
      <c r="BL15" s="210" t="n">
        <v>1</v>
      </c>
      <c r="BM15" s="210" t="n">
        <v>1</v>
      </c>
      <c r="BN15" s="214" t="n">
        <v>2</v>
      </c>
      <c r="BO15" s="214" t="n">
        <v>2</v>
      </c>
      <c r="BP15" s="214" t="n">
        <v>3</v>
      </c>
      <c r="BQ15" s="215" t="n">
        <v>0</v>
      </c>
    </row>
    <row r="16" ht="15.75" customHeight="1" thickBot="1">
      <c r="A16" s="59" t="inlineStr">
        <is>
          <t>https://open.spotify.com/playlist/4Q3hmH9dUCFzQ0BpgCfZhY</t>
        </is>
      </c>
      <c r="B16" s="43" t="inlineStr">
        <is>
          <t>MORNING SONGS 2026 ☀️ COFFEE PLAYLIST ☕️ CHILL MORNING VIBES</t>
        </is>
      </c>
      <c r="C16" s="55" t="inlineStr">
        <is>
          <t>4Q3hmH9dUCFzQ0BpgCfZhY</t>
        </is>
      </c>
      <c r="D16" s="53" t="n">
        <v>123</v>
      </c>
      <c r="E16" s="50" t="n">
        <v>1</v>
      </c>
      <c r="F16" s="50" t="n">
        <v>2</v>
      </c>
      <c r="G16" s="48" t="n">
        <v>4</v>
      </c>
      <c r="H16" s="48" t="n">
        <v>1</v>
      </c>
      <c r="I16" s="70" t="n">
        <v>2</v>
      </c>
      <c r="J16" s="74" t="n">
        <v>0</v>
      </c>
      <c r="K16" s="76" t="n">
        <v>0</v>
      </c>
      <c r="L16" s="79" t="n">
        <v>1</v>
      </c>
      <c r="M16" s="83" t="n">
        <v>0</v>
      </c>
      <c r="N16" s="86" t="n">
        <v>0</v>
      </c>
      <c r="O16" s="89" t="n">
        <v>1</v>
      </c>
      <c r="P16" s="92" t="n">
        <v>1</v>
      </c>
      <c r="Q16" s="96" t="n">
        <v>0</v>
      </c>
      <c r="R16" s="99" t="n">
        <v>1</v>
      </c>
      <c r="S16" s="101" t="n">
        <v>1</v>
      </c>
      <c r="T16" s="104" t="n">
        <v>1</v>
      </c>
      <c r="U16" s="107" t="n">
        <v>2</v>
      </c>
      <c r="V16" s="110" t="n">
        <v>2</v>
      </c>
      <c r="W16" s="113" t="n">
        <v>1</v>
      </c>
      <c r="X16" s="116" t="n">
        <v>2</v>
      </c>
      <c r="Y16" s="120" t="n">
        <v>0</v>
      </c>
      <c r="Z16" s="121" t="n">
        <v>3</v>
      </c>
      <c r="AA16" s="127" t="n">
        <v>0</v>
      </c>
      <c r="AB16" s="130" t="n">
        <v>0</v>
      </c>
      <c r="AC16" s="132" t="n">
        <v>1</v>
      </c>
      <c r="AD16" s="136" t="n">
        <v>0</v>
      </c>
      <c r="AE16" s="138" t="n">
        <v>0</v>
      </c>
      <c r="AF16" s="141" t="n">
        <v>1</v>
      </c>
      <c r="AG16" s="144" t="n">
        <v>1</v>
      </c>
      <c r="AH16" s="147" t="n">
        <v>1</v>
      </c>
      <c r="AI16" s="150" t="n">
        <v>1</v>
      </c>
      <c r="AJ16" s="154" t="n">
        <v>0</v>
      </c>
      <c r="AK16" s="154" t="n">
        <v>0</v>
      </c>
      <c r="AL16" s="156" t="n">
        <v>0</v>
      </c>
      <c r="AM16" s="159" t="n">
        <v>1</v>
      </c>
      <c r="AN16" s="162" t="n">
        <v>2</v>
      </c>
      <c r="AO16" s="162" t="n">
        <v>1</v>
      </c>
      <c r="AP16" s="166" t="n">
        <v>0</v>
      </c>
      <c r="AQ16" s="168" t="n">
        <v>1</v>
      </c>
      <c r="AR16" s="172" t="n">
        <v>0</v>
      </c>
      <c r="AS16" s="175" t="n">
        <v>0</v>
      </c>
      <c r="AT16" s="177" t="n">
        <v>1</v>
      </c>
      <c r="AU16" s="178" t="n">
        <v>0</v>
      </c>
      <c r="AV16" s="180" t="n">
        <v>1</v>
      </c>
      <c r="AW16" s="183" t="n">
        <v>0</v>
      </c>
      <c r="AX16" s="184" t="n">
        <v>3</v>
      </c>
      <c r="AY16" s="187" t="n">
        <v>0</v>
      </c>
      <c r="AZ16" s="189" t="n">
        <v>0</v>
      </c>
      <c r="BA16" s="192" t="n">
        <v>-1</v>
      </c>
      <c r="BB16" s="196" t="n">
        <v>0</v>
      </c>
      <c r="BC16" s="199" t="n">
        <v>0</v>
      </c>
      <c r="BD16" s="202" t="n">
        <v>0</v>
      </c>
      <c r="BE16" s="205" t="n">
        <v>0</v>
      </c>
      <c r="BF16" s="205" t="n">
        <v>0</v>
      </c>
      <c r="BG16" s="208" t="n">
        <v>0</v>
      </c>
      <c r="BH16" s="211" t="n">
        <v>0</v>
      </c>
      <c r="BI16" s="210" t="n">
        <v>2</v>
      </c>
      <c r="BJ16" s="211" t="n">
        <v>0</v>
      </c>
      <c r="BK16" s="210" t="n">
        <v>1</v>
      </c>
      <c r="BL16" s="211" t="n">
        <v>0</v>
      </c>
      <c r="BM16" s="210" t="n">
        <v>1</v>
      </c>
      <c r="BN16" s="215" t="n">
        <v>0</v>
      </c>
      <c r="BO16" s="215" t="n">
        <v>0</v>
      </c>
      <c r="BP16" s="214" t="n">
        <v>1</v>
      </c>
      <c r="BQ16" s="214" t="n">
        <v>1</v>
      </c>
    </row>
    <row r="17" ht="15.75" customHeight="1" thickBot="1">
      <c r="A17" s="59" t="inlineStr">
        <is>
          <t>https://open.spotify.com/playlist/3UAfKMQS5jjYr9Eo9qh15k</t>
        </is>
      </c>
      <c r="B17" s="43" t="inlineStr">
        <is>
          <t>INDOOR Spinning &amp; Outdoor CYCLING  160 BPM 2026 🚲 SPIN WORKOUT ⚡️ CYCLING HITS</t>
        </is>
      </c>
      <c r="C17" s="55" t="inlineStr">
        <is>
          <t>3UAfKMQS5jjYr9Eo9qh15k</t>
        </is>
      </c>
      <c r="D17" s="53" t="n">
        <v>168</v>
      </c>
      <c r="E17" s="50" t="n">
        <v>2</v>
      </c>
      <c r="F17" s="50" t="n">
        <v>-1</v>
      </c>
      <c r="G17" s="48" t="n">
        <v>2</v>
      </c>
      <c r="H17" s="48" t="n">
        <v>3</v>
      </c>
      <c r="I17" s="70" t="n">
        <v>2</v>
      </c>
      <c r="J17" s="74" t="n">
        <v>0</v>
      </c>
      <c r="K17" s="76" t="n">
        <v>0</v>
      </c>
      <c r="L17" s="80" t="n">
        <v>0</v>
      </c>
      <c r="M17" s="83" t="n">
        <v>0</v>
      </c>
      <c r="N17" s="86" t="n">
        <v>0</v>
      </c>
      <c r="O17" s="90" t="n">
        <v>0</v>
      </c>
      <c r="P17" s="93" t="n">
        <v>0</v>
      </c>
      <c r="Q17" s="96" t="n">
        <v>0</v>
      </c>
      <c r="R17" s="99" t="n">
        <v>2</v>
      </c>
      <c r="S17" s="101" t="n">
        <v>1</v>
      </c>
      <c r="T17" s="105" t="n">
        <v>0</v>
      </c>
      <c r="U17" s="107" t="n">
        <v>3</v>
      </c>
      <c r="V17" s="110" t="n">
        <v>1</v>
      </c>
      <c r="W17" s="113" t="n">
        <v>1</v>
      </c>
      <c r="X17" s="116" t="n">
        <v>2</v>
      </c>
      <c r="Y17" s="119" t="n">
        <v>1</v>
      </c>
      <c r="Z17" s="121" t="n">
        <v>3</v>
      </c>
      <c r="AA17" s="127" t="n">
        <v>0</v>
      </c>
      <c r="AB17" s="130" t="n">
        <v>0</v>
      </c>
      <c r="AC17" s="131" t="n">
        <v>6</v>
      </c>
      <c r="AD17" s="134" t="n">
        <v>4</v>
      </c>
      <c r="AE17" s="139" t="n">
        <v>3</v>
      </c>
      <c r="AF17" s="141" t="n">
        <v>1</v>
      </c>
      <c r="AG17" s="144" t="n">
        <v>3</v>
      </c>
      <c r="AH17" s="147" t="n">
        <v>1</v>
      </c>
      <c r="AI17" s="151" t="n">
        <v>-1</v>
      </c>
      <c r="AJ17" s="152" t="n">
        <v>1</v>
      </c>
      <c r="AK17" s="154" t="n">
        <v>-1</v>
      </c>
      <c r="AL17" s="157" t="n">
        <v>1</v>
      </c>
      <c r="AM17" s="160" t="n">
        <v>0</v>
      </c>
      <c r="AN17" s="161" t="n">
        <v>2</v>
      </c>
      <c r="AO17" s="161" t="n">
        <v>2</v>
      </c>
      <c r="AP17" s="166" t="n">
        <v>0</v>
      </c>
      <c r="AQ17" s="168" t="n">
        <v>3</v>
      </c>
      <c r="AR17" s="171" t="n">
        <v>3</v>
      </c>
      <c r="AS17" s="174" t="n">
        <v>2</v>
      </c>
      <c r="AT17" s="178" t="n">
        <v>0</v>
      </c>
      <c r="AU17" s="177" t="n">
        <v>2</v>
      </c>
      <c r="AV17" s="180" t="n">
        <v>3</v>
      </c>
      <c r="AW17" s="184" t="n">
        <v>1</v>
      </c>
      <c r="AX17" s="184" t="n">
        <v>1</v>
      </c>
      <c r="AY17" s="186" t="n">
        <v>2</v>
      </c>
      <c r="AZ17" s="190" t="n">
        <v>1</v>
      </c>
      <c r="BA17" s="191" t="n">
        <v>3</v>
      </c>
      <c r="BB17" s="195" t="n">
        <v>4</v>
      </c>
      <c r="BC17" s="198" t="n">
        <v>2</v>
      </c>
      <c r="BD17" s="201" t="n">
        <v>1</v>
      </c>
      <c r="BE17" s="204" t="n">
        <v>1</v>
      </c>
      <c r="BF17" s="205" t="n">
        <v>0</v>
      </c>
      <c r="BG17" s="207" t="n">
        <v>2</v>
      </c>
      <c r="BH17" s="210" t="n">
        <v>1</v>
      </c>
      <c r="BI17" s="210" t="n">
        <v>3</v>
      </c>
      <c r="BJ17" s="211" t="n">
        <v>0</v>
      </c>
      <c r="BK17" s="210" t="n">
        <v>1</v>
      </c>
      <c r="BL17" s="210" t="n">
        <v>1</v>
      </c>
      <c r="BM17" s="211" t="n">
        <v>-1</v>
      </c>
      <c r="BN17" s="215" t="n">
        <v>0</v>
      </c>
      <c r="BO17" s="214" t="n">
        <v>1</v>
      </c>
      <c r="BP17" s="214" t="n">
        <v>3</v>
      </c>
      <c r="BQ17" s="214" t="n">
        <v>2</v>
      </c>
    </row>
    <row r="18" ht="15.75" customHeight="1" thickBot="1">
      <c r="A18" s="59" t="inlineStr">
        <is>
          <t>https://open.spotify.com/playlist/5vqWsqRPO3qQlFabcpvBmq</t>
        </is>
      </c>
      <c r="B18" s="43" t="inlineStr">
        <is>
          <t>BEST INSTA STORY SONGS 2026 📱 TIKTOK VIRAL 🔥 TOP TRACKS</t>
        </is>
      </c>
      <c r="C18" s="55" t="inlineStr">
        <is>
          <t>5vqWsqRPO3qQlFabcpvBmq</t>
        </is>
      </c>
      <c r="D18" s="53" t="n">
        <v>205</v>
      </c>
      <c r="E18" s="50" t="n">
        <v>1</v>
      </c>
      <c r="F18" s="50" t="n">
        <v>1</v>
      </c>
      <c r="G18" s="48" t="n">
        <v>2</v>
      </c>
      <c r="H18" s="48" t="n">
        <v>-1</v>
      </c>
      <c r="I18" s="70" t="n">
        <v>2</v>
      </c>
      <c r="J18" s="73" t="n">
        <v>2</v>
      </c>
      <c r="K18" s="75" t="n">
        <v>4</v>
      </c>
      <c r="L18" s="78" t="n">
        <v>4</v>
      </c>
      <c r="M18" s="83" t="n">
        <v>0</v>
      </c>
      <c r="N18" s="84" t="n">
        <v>4</v>
      </c>
      <c r="O18" s="89" t="n">
        <v>1</v>
      </c>
      <c r="P18" s="91" t="n">
        <v>4</v>
      </c>
      <c r="Q18" s="95" t="n">
        <v>3</v>
      </c>
      <c r="R18" s="99" t="n">
        <v>1</v>
      </c>
      <c r="S18" s="101" t="n">
        <v>2</v>
      </c>
      <c r="T18" s="105" t="n">
        <v>0</v>
      </c>
      <c r="U18" s="107" t="n">
        <v>1</v>
      </c>
      <c r="V18" s="110" t="n">
        <v>2</v>
      </c>
      <c r="W18" s="114" t="n">
        <v>0</v>
      </c>
      <c r="X18" s="116" t="n">
        <v>1</v>
      </c>
      <c r="Y18" s="119" t="n">
        <v>1</v>
      </c>
      <c r="Z18" s="121" t="n">
        <v>1</v>
      </c>
      <c r="AA18" s="125" t="n">
        <v>4</v>
      </c>
      <c r="AB18" s="129" t="n">
        <v>2</v>
      </c>
      <c r="AC18" s="132" t="n">
        <v>1</v>
      </c>
      <c r="AD18" s="135" t="n">
        <v>1</v>
      </c>
      <c r="AE18" s="139" t="n">
        <v>1</v>
      </c>
      <c r="AF18" s="141" t="n">
        <v>2</v>
      </c>
      <c r="AG18" s="145" t="n">
        <v>0</v>
      </c>
      <c r="AH18" s="147" t="n">
        <v>3</v>
      </c>
      <c r="AI18" s="150" t="n">
        <v>2</v>
      </c>
      <c r="AJ18" s="152" t="n">
        <v>3</v>
      </c>
      <c r="AK18" s="152" t="n">
        <v>3</v>
      </c>
      <c r="AL18" s="157" t="n">
        <v>3</v>
      </c>
      <c r="AM18" s="159" t="n">
        <v>3</v>
      </c>
      <c r="AN18" s="161" t="n">
        <v>3</v>
      </c>
      <c r="AO18" s="161" t="n">
        <v>2</v>
      </c>
      <c r="AP18" s="165" t="n">
        <v>2</v>
      </c>
      <c r="AQ18" s="168" t="n">
        <v>2</v>
      </c>
      <c r="AR18" s="171" t="n">
        <v>2</v>
      </c>
      <c r="AS18" s="174" t="n">
        <v>2</v>
      </c>
      <c r="AT18" s="177" t="n">
        <v>1</v>
      </c>
      <c r="AU18" s="177" t="n">
        <v>3</v>
      </c>
      <c r="AV18" s="179" t="n">
        <v>4</v>
      </c>
      <c r="AW18" s="183" t="n">
        <v>0</v>
      </c>
      <c r="AX18" s="183" t="n">
        <v>0</v>
      </c>
      <c r="AY18" s="187" t="n">
        <v>-2</v>
      </c>
      <c r="AZ18" s="190" t="n">
        <v>1</v>
      </c>
      <c r="BA18" s="192" t="n">
        <v>0</v>
      </c>
      <c r="BB18" s="195" t="n">
        <v>4</v>
      </c>
      <c r="BC18" s="198" t="n">
        <v>1</v>
      </c>
      <c r="BD18" s="202" t="n">
        <v>-1</v>
      </c>
      <c r="BE18" s="204" t="n">
        <v>2</v>
      </c>
      <c r="BF18" s="204" t="n">
        <v>3</v>
      </c>
      <c r="BG18" s="206" t="n">
        <v>6</v>
      </c>
      <c r="BH18" s="210" t="n">
        <v>3</v>
      </c>
      <c r="BI18" s="210" t="n">
        <v>2</v>
      </c>
      <c r="BJ18" s="210" t="n">
        <v>1</v>
      </c>
      <c r="BK18" s="210" t="n">
        <v>1</v>
      </c>
      <c r="BL18" s="211" t="n">
        <v>0</v>
      </c>
      <c r="BM18" s="210" t="n">
        <v>3</v>
      </c>
      <c r="BN18" s="216" t="n">
        <v>5</v>
      </c>
      <c r="BO18" s="216" t="n">
        <v>5</v>
      </c>
      <c r="BP18" s="214" t="n">
        <v>3</v>
      </c>
      <c r="BQ18" s="214" t="n">
        <v>1</v>
      </c>
    </row>
    <row r="19" ht="15.75" customHeight="1" thickBot="1">
      <c r="A19" s="59" t="inlineStr">
        <is>
          <t>https://open.spotify.com/playlist/3vNTcSdaRAasxp1wqelywJ</t>
        </is>
      </c>
      <c r="B19" s="43" t="inlineStr">
        <is>
          <t>CLÁSICOS REMIXADOS 2026 🎶 FIESTA RETRO 🌟 VERSIONES ELECTRÓNICAS ICÓNICAS</t>
        </is>
      </c>
      <c r="C19" s="55" t="inlineStr">
        <is>
          <t>3vNTcSdaRAasxp1wqelywJ</t>
        </is>
      </c>
      <c r="D19" s="53" t="n">
        <v>141</v>
      </c>
      <c r="E19" s="50" t="n">
        <v>0</v>
      </c>
      <c r="F19" s="50" t="n">
        <v>0</v>
      </c>
      <c r="G19" s="48" t="n">
        <v>1</v>
      </c>
      <c r="H19" s="48" t="n">
        <v>1</v>
      </c>
      <c r="I19" s="71" t="n">
        <v>0</v>
      </c>
      <c r="J19" s="74" t="n">
        <v>0</v>
      </c>
      <c r="K19" s="76" t="n">
        <v>0</v>
      </c>
      <c r="L19" s="79" t="n">
        <v>1</v>
      </c>
      <c r="M19" s="82" t="n">
        <v>1</v>
      </c>
      <c r="N19" s="86" t="n">
        <v>0</v>
      </c>
      <c r="O19" s="88" t="n">
        <v>4</v>
      </c>
      <c r="P19" s="92" t="n">
        <v>1</v>
      </c>
      <c r="Q19" s="95" t="n">
        <v>1</v>
      </c>
      <c r="R19" s="97" t="n">
        <v>4</v>
      </c>
      <c r="S19" s="101" t="n">
        <v>1</v>
      </c>
      <c r="T19" s="105" t="n">
        <v>0</v>
      </c>
      <c r="U19" s="108" t="n">
        <v>0</v>
      </c>
      <c r="V19" s="109" t="n">
        <v>4</v>
      </c>
      <c r="W19" s="114" t="n">
        <v>0</v>
      </c>
      <c r="X19" s="116" t="n">
        <v>2</v>
      </c>
      <c r="Y19" s="120" t="n">
        <v>0</v>
      </c>
      <c r="Z19" s="121" t="n">
        <v>1</v>
      </c>
      <c r="AA19" s="126" t="n">
        <v>1</v>
      </c>
      <c r="AB19" s="130" t="n">
        <v>0</v>
      </c>
      <c r="AC19" s="132" t="n">
        <v>1</v>
      </c>
      <c r="AD19" s="136" t="n">
        <v>0</v>
      </c>
      <c r="AE19" s="138" t="n">
        <v>0</v>
      </c>
      <c r="AF19" s="141" t="n">
        <v>2</v>
      </c>
      <c r="AG19" s="144" t="n">
        <v>1</v>
      </c>
      <c r="AH19" s="147" t="n">
        <v>2</v>
      </c>
      <c r="AI19" s="151" t="n">
        <v>0</v>
      </c>
      <c r="AJ19" s="154" t="n">
        <v>-1</v>
      </c>
      <c r="AK19" s="154" t="n">
        <v>0</v>
      </c>
      <c r="AL19" s="157" t="n">
        <v>1</v>
      </c>
      <c r="AM19" s="159" t="n">
        <v>1</v>
      </c>
      <c r="AN19" s="162" t="n">
        <v>1</v>
      </c>
      <c r="AO19" s="162" t="n">
        <v>1</v>
      </c>
      <c r="AP19" s="165" t="n">
        <v>1</v>
      </c>
      <c r="AQ19" s="168" t="n">
        <v>2</v>
      </c>
      <c r="AR19" s="171" t="n">
        <v>1</v>
      </c>
      <c r="AS19" s="174" t="n">
        <v>1</v>
      </c>
      <c r="AT19" s="177" t="n">
        <v>1</v>
      </c>
      <c r="AU19" s="177" t="n">
        <v>1</v>
      </c>
      <c r="AV19" s="180" t="n">
        <v>1</v>
      </c>
      <c r="AW19" s="184" t="n">
        <v>1</v>
      </c>
      <c r="AX19" s="184" t="n">
        <v>1</v>
      </c>
      <c r="AY19" s="186" t="n">
        <v>1</v>
      </c>
      <c r="AZ19" s="189" t="n">
        <v>0</v>
      </c>
      <c r="BA19" s="191" t="n">
        <v>1</v>
      </c>
      <c r="BB19" s="196" t="n">
        <v>0</v>
      </c>
      <c r="BC19" s="199" t="n">
        <v>0</v>
      </c>
      <c r="BD19" s="201" t="n">
        <v>1</v>
      </c>
      <c r="BE19" s="205" t="n">
        <v>0</v>
      </c>
      <c r="BF19" s="204" t="n">
        <v>2</v>
      </c>
      <c r="BG19" s="206" t="n">
        <v>4</v>
      </c>
      <c r="BH19" s="210" t="n">
        <v>1</v>
      </c>
      <c r="BI19" s="211" t="n">
        <v>0</v>
      </c>
      <c r="BJ19" s="210" t="n">
        <v>1</v>
      </c>
      <c r="BK19" s="211" t="n">
        <v>0</v>
      </c>
      <c r="BL19" s="210" t="n">
        <v>1</v>
      </c>
      <c r="BM19" s="210" t="n">
        <v>1</v>
      </c>
      <c r="BN19" s="215" t="n">
        <v>0</v>
      </c>
      <c r="BO19" s="214" t="n">
        <v>1</v>
      </c>
      <c r="BP19" s="215" t="n">
        <v>0</v>
      </c>
      <c r="BQ19" s="214" t="n">
        <v>2</v>
      </c>
    </row>
    <row r="20" ht="15.75" customHeight="1" thickBot="1">
      <c r="A20" s="59" t="inlineStr">
        <is>
          <t>https://open.spotify.com/playlist/7ac0URBqfC4apmxb8OEGMb</t>
        </is>
      </c>
      <c r="B20" s="43" t="inlineStr">
        <is>
          <t>TRIBAL BEATS 2026 | SHAMAN DRUMS 🌿 NATIVE FLUTES</t>
        </is>
      </c>
      <c r="C20" s="55" t="inlineStr">
        <is>
          <t>7ac0URBqfC4apmxb8OEGMb</t>
        </is>
      </c>
      <c r="D20" s="53" t="n">
        <v>140</v>
      </c>
      <c r="E20" s="50" t="n">
        <v>0</v>
      </c>
      <c r="F20" s="50" t="n">
        <v>0</v>
      </c>
      <c r="G20" s="48" t="n">
        <v>0</v>
      </c>
      <c r="H20" s="48" t="n">
        <v>1</v>
      </c>
      <c r="I20" s="71" t="n">
        <v>0</v>
      </c>
      <c r="J20" s="73" t="n">
        <v>2</v>
      </c>
      <c r="K20" s="77" t="n">
        <v>2</v>
      </c>
      <c r="L20" s="80" t="n">
        <v>0</v>
      </c>
      <c r="M20" s="83" t="n">
        <v>0</v>
      </c>
      <c r="N20" s="85" t="n">
        <v>1</v>
      </c>
      <c r="O20" s="89" t="n">
        <v>2</v>
      </c>
      <c r="P20" s="92" t="n">
        <v>1</v>
      </c>
      <c r="Q20" s="95" t="n">
        <v>2</v>
      </c>
      <c r="R20" s="99" t="n">
        <v>1</v>
      </c>
      <c r="S20" s="102" t="n">
        <v>0</v>
      </c>
      <c r="T20" s="104" t="n">
        <v>1</v>
      </c>
      <c r="U20" s="107" t="n">
        <v>1</v>
      </c>
      <c r="V20" s="111" t="n">
        <v>0</v>
      </c>
      <c r="W20" s="113" t="n">
        <v>1</v>
      </c>
      <c r="X20" s="116" t="n">
        <v>3</v>
      </c>
      <c r="Y20" s="119" t="n">
        <v>2</v>
      </c>
      <c r="Z20" s="122" t="n">
        <v>4</v>
      </c>
      <c r="AA20" s="127" t="n">
        <v>0</v>
      </c>
      <c r="AB20" s="129" t="n">
        <v>2</v>
      </c>
      <c r="AC20" s="132" t="n">
        <v>2</v>
      </c>
      <c r="AD20" s="135" t="n">
        <v>1</v>
      </c>
      <c r="AE20" s="139" t="n">
        <v>1</v>
      </c>
      <c r="AF20" s="142" t="n">
        <v>0</v>
      </c>
      <c r="AG20" s="144" t="n">
        <v>1</v>
      </c>
      <c r="AH20" s="147" t="n">
        <v>2</v>
      </c>
      <c r="AI20" s="150" t="n">
        <v>2</v>
      </c>
      <c r="AJ20" s="152" t="n">
        <v>3</v>
      </c>
      <c r="AK20" s="152" t="n">
        <v>1</v>
      </c>
      <c r="AL20" s="156" t="n">
        <v>0</v>
      </c>
      <c r="AM20" s="159" t="n">
        <v>1</v>
      </c>
      <c r="AN20" s="161" t="n">
        <v>2</v>
      </c>
      <c r="AO20" s="161" t="n">
        <v>2</v>
      </c>
      <c r="AP20" s="166" t="n">
        <v>-1</v>
      </c>
      <c r="AQ20" s="168" t="n">
        <v>1</v>
      </c>
      <c r="AR20" s="171" t="n">
        <v>2</v>
      </c>
      <c r="AS20" s="175" t="n">
        <v>0</v>
      </c>
      <c r="AT20" s="177" t="n">
        <v>1</v>
      </c>
      <c r="AU20" s="178" t="n">
        <v>0</v>
      </c>
      <c r="AV20" s="180" t="n">
        <v>1</v>
      </c>
      <c r="AW20" s="183" t="n">
        <v>0</v>
      </c>
      <c r="AX20" s="184" t="n">
        <v>1</v>
      </c>
      <c r="AY20" s="187" t="n">
        <v>0</v>
      </c>
      <c r="AZ20" s="189" t="n">
        <v>0</v>
      </c>
      <c r="BA20" s="191" t="n">
        <v>1</v>
      </c>
      <c r="BB20" s="196" t="n">
        <v>0</v>
      </c>
      <c r="BC20" s="198" t="n">
        <v>1</v>
      </c>
      <c r="BD20" s="202" t="n">
        <v>0</v>
      </c>
      <c r="BE20" s="204" t="n">
        <v>1</v>
      </c>
      <c r="BF20" s="205" t="n">
        <v>0</v>
      </c>
      <c r="BG20" s="208" t="n">
        <v>0</v>
      </c>
      <c r="BH20" s="211" t="n">
        <v>0</v>
      </c>
      <c r="BI20" s="211" t="n">
        <v>0</v>
      </c>
      <c r="BJ20" s="211" t="n">
        <v>0</v>
      </c>
      <c r="BK20" s="211" t="n">
        <v>0</v>
      </c>
      <c r="BL20" s="211" t="n">
        <v>0</v>
      </c>
      <c r="BM20" s="210" t="n">
        <v>1</v>
      </c>
      <c r="BN20" s="214" t="n">
        <v>1</v>
      </c>
      <c r="BO20" s="215" t="n">
        <v>0</v>
      </c>
      <c r="BP20" s="214" t="n">
        <v>1</v>
      </c>
      <c r="BQ20" s="214" t="n">
        <v>1</v>
      </c>
    </row>
    <row r="21" ht="15.75" customHeight="1" thickBot="1">
      <c r="A21" s="59" t="inlineStr">
        <is>
          <t>https://open.spotify.com/playlist/2U5DdCkBytAOng0GOkLaAI</t>
        </is>
      </c>
      <c r="B21" s="44" t="inlineStr">
        <is>
          <t>WINTER SLEEP MUSIC 2026 ❄️ COZY NIGHTS 🌙 DEEP RELAXATION</t>
        </is>
      </c>
      <c r="C21" s="56" t="inlineStr">
        <is>
          <t>2U5DdCkBytAOng0GOkLaAI</t>
        </is>
      </c>
      <c r="D21" s="53" t="n">
        <v>89</v>
      </c>
      <c r="E21" s="50" t="n">
        <v>0</v>
      </c>
      <c r="F21" s="50" t="n">
        <v>1</v>
      </c>
      <c r="G21" s="48" t="n">
        <v>0</v>
      </c>
      <c r="H21" s="48" t="n">
        <v>0</v>
      </c>
      <c r="I21" s="70" t="n">
        <v>1</v>
      </c>
      <c r="J21" s="73" t="n">
        <v>1</v>
      </c>
      <c r="K21" s="76" t="n">
        <v>0</v>
      </c>
      <c r="L21" s="79" t="n">
        <v>2</v>
      </c>
      <c r="M21" s="83" t="n">
        <v>0</v>
      </c>
      <c r="N21" s="86" t="n">
        <v>-1</v>
      </c>
      <c r="O21" s="89" t="n">
        <v>1</v>
      </c>
      <c r="P21" s="93" t="n">
        <v>0</v>
      </c>
      <c r="Q21" s="96" t="n">
        <v>0</v>
      </c>
      <c r="R21" s="99" t="n">
        <v>1</v>
      </c>
      <c r="S21" s="101" t="n">
        <v>1</v>
      </c>
      <c r="T21" s="105" t="n">
        <v>0</v>
      </c>
      <c r="U21" s="20" t="n">
        <v>1</v>
      </c>
      <c r="V21" s="111" t="n">
        <v>0</v>
      </c>
      <c r="W21" s="114" t="n">
        <v>0</v>
      </c>
      <c r="X21" s="117" t="n">
        <v>0</v>
      </c>
      <c r="Y21" s="120" t="n">
        <v>0</v>
      </c>
      <c r="Z21" s="121" t="n">
        <v>1</v>
      </c>
      <c r="AA21" s="127" t="n">
        <v>0</v>
      </c>
      <c r="AB21" s="130" t="n">
        <v>0</v>
      </c>
      <c r="AC21" s="133" t="n">
        <v>0</v>
      </c>
      <c r="AD21" s="136" t="n">
        <v>0</v>
      </c>
      <c r="AE21" s="138" t="n">
        <v>0</v>
      </c>
      <c r="AF21" s="142" t="n">
        <v>0</v>
      </c>
      <c r="AG21" s="144" t="n">
        <v>1</v>
      </c>
      <c r="AH21" s="148" t="n">
        <v>0</v>
      </c>
      <c r="AI21" s="151" t="n">
        <v>0</v>
      </c>
      <c r="AJ21" s="154" t="n">
        <v>0</v>
      </c>
      <c r="AK21" s="154" t="n">
        <v>0</v>
      </c>
      <c r="AL21" s="156" t="n">
        <v>0</v>
      </c>
      <c r="AM21" s="159" t="n">
        <v>1</v>
      </c>
      <c r="AN21" s="163" t="n">
        <v>0</v>
      </c>
      <c r="AO21" s="163" t="n">
        <v>0</v>
      </c>
      <c r="AP21" s="166" t="n">
        <v>0</v>
      </c>
      <c r="AQ21" s="169" t="n">
        <v>0</v>
      </c>
      <c r="AR21" s="172" t="n">
        <v>0</v>
      </c>
      <c r="AS21" s="175" t="n">
        <v>0</v>
      </c>
      <c r="AT21" s="178" t="n">
        <v>0</v>
      </c>
      <c r="AU21" s="178" t="n">
        <v>0</v>
      </c>
      <c r="AV21" s="181" t="n">
        <v>-1</v>
      </c>
      <c r="AW21" s="183" t="n">
        <v>0</v>
      </c>
      <c r="AX21" s="184" t="n">
        <v>1</v>
      </c>
      <c r="AY21" s="187" t="n">
        <v>0</v>
      </c>
      <c r="AZ21" s="189" t="n">
        <v>0</v>
      </c>
      <c r="BA21" s="192" t="n">
        <v>0</v>
      </c>
      <c r="BB21" s="196" t="n">
        <v>0</v>
      </c>
      <c r="BC21" s="199" t="n">
        <v>0</v>
      </c>
      <c r="BD21" s="202" t="n">
        <v>0</v>
      </c>
      <c r="BE21" s="205" t="n">
        <v>0</v>
      </c>
      <c r="BF21" s="205" t="n">
        <v>0</v>
      </c>
      <c r="BG21" s="208" t="n">
        <v>0</v>
      </c>
      <c r="BH21" s="211" t="n">
        <v>0</v>
      </c>
      <c r="BI21" s="211" t="n">
        <v>0</v>
      </c>
      <c r="BJ21" s="210" t="n">
        <v>1</v>
      </c>
      <c r="BK21" s="210" t="n">
        <v>1</v>
      </c>
      <c r="BL21" s="211" t="n">
        <v>0</v>
      </c>
      <c r="BM21" s="211" t="n">
        <v>0</v>
      </c>
      <c r="BN21" s="215" t="n">
        <v>0</v>
      </c>
      <c r="BO21" s="215" t="n">
        <v>0</v>
      </c>
      <c r="BP21" s="215" t="n">
        <v>0</v>
      </c>
      <c r="BQ21" s="215" t="n">
        <v>0</v>
      </c>
    </row>
    <row r="22" ht="15.75" customHeight="1" thickBot="1">
      <c r="A22" s="59" t="inlineStr">
        <is>
          <t>https://open.spotify.com/playlist/1qdMUrMKiEopU0lrtp7J8K</t>
        </is>
      </c>
      <c r="B22" s="43" t="inlineStr">
        <is>
          <t>THETA WAVES 2026 ✨ BINAURAL BEATS 🌌 MEDITATION FREQUENCIES</t>
        </is>
      </c>
      <c r="C22" s="55" t="inlineStr">
        <is>
          <t>1qdMUrMKiEopU0lrtp7J8K</t>
        </is>
      </c>
      <c r="D22" s="53" t="n">
        <v>157</v>
      </c>
      <c r="E22" s="50" t="n">
        <v>0</v>
      </c>
      <c r="F22" s="50" t="n">
        <v>2</v>
      </c>
      <c r="G22" s="48" t="n">
        <v>1</v>
      </c>
      <c r="H22" s="48" t="n">
        <v>1</v>
      </c>
      <c r="I22" s="71" t="n">
        <v>0</v>
      </c>
      <c r="J22" s="74" t="n">
        <v>0</v>
      </c>
      <c r="K22" s="77" t="n">
        <v>2</v>
      </c>
      <c r="L22" s="80" t="n">
        <v>0</v>
      </c>
      <c r="M22" s="82" t="n">
        <v>1</v>
      </c>
      <c r="N22" s="84" t="n">
        <v>8</v>
      </c>
      <c r="O22" s="89" t="n">
        <v>3</v>
      </c>
      <c r="P22" s="93" t="n">
        <v>0</v>
      </c>
      <c r="Q22" s="95" t="n">
        <v>1</v>
      </c>
      <c r="R22" s="99" t="n">
        <v>2</v>
      </c>
      <c r="S22" s="101" t="n">
        <v>2</v>
      </c>
      <c r="T22" s="105" t="n">
        <v>0</v>
      </c>
      <c r="U22" s="106" t="n">
        <v>4</v>
      </c>
      <c r="V22" s="110" t="n">
        <v>3</v>
      </c>
      <c r="W22" s="113" t="n">
        <v>1</v>
      </c>
      <c r="X22" s="117" t="n">
        <v>0</v>
      </c>
      <c r="Y22" s="119" t="n">
        <v>1</v>
      </c>
      <c r="Z22" s="121" t="n">
        <v>1</v>
      </c>
      <c r="AA22" s="126" t="n">
        <v>3</v>
      </c>
      <c r="AB22" s="129" t="n">
        <v>3</v>
      </c>
      <c r="AC22" s="132" t="n">
        <v>1</v>
      </c>
      <c r="AD22" s="136" t="n">
        <v>0</v>
      </c>
      <c r="AE22" s="139" t="n">
        <v>1</v>
      </c>
      <c r="AF22" s="141" t="n">
        <v>1</v>
      </c>
      <c r="AG22" s="144" t="n">
        <v>2</v>
      </c>
      <c r="AH22" s="147" t="n">
        <v>3</v>
      </c>
      <c r="AI22" s="151" t="n">
        <v>0</v>
      </c>
      <c r="AJ22" s="152" t="n">
        <v>1</v>
      </c>
      <c r="AK22" s="152" t="n">
        <v>2</v>
      </c>
      <c r="AL22" s="157" t="n">
        <v>3</v>
      </c>
      <c r="AM22" s="159" t="n">
        <v>1</v>
      </c>
      <c r="AN22" s="161" t="n">
        <v>2</v>
      </c>
      <c r="AO22" s="161" t="n">
        <v>2</v>
      </c>
      <c r="AP22" s="166" t="n">
        <v>0</v>
      </c>
      <c r="AQ22" s="169" t="n">
        <v>0</v>
      </c>
      <c r="AR22" s="172" t="n">
        <v>0</v>
      </c>
      <c r="AS22" s="175" t="n">
        <v>0</v>
      </c>
      <c r="AT22" s="177" t="n">
        <v>1</v>
      </c>
      <c r="AU22" s="177" t="n">
        <v>2</v>
      </c>
      <c r="AV22" s="180" t="n">
        <v>1</v>
      </c>
      <c r="AW22" s="184" t="n">
        <v>1</v>
      </c>
      <c r="AX22" s="182" t="n">
        <v>7</v>
      </c>
      <c r="AY22" s="186" t="n">
        <v>2</v>
      </c>
      <c r="AZ22" s="190" t="n">
        <v>1</v>
      </c>
      <c r="BA22" s="193" t="n">
        <v>4</v>
      </c>
      <c r="BB22" s="196" t="n">
        <v>0</v>
      </c>
      <c r="BC22" s="199" t="n">
        <v>0</v>
      </c>
      <c r="BD22" s="202" t="n">
        <v>0</v>
      </c>
      <c r="BE22" s="204" t="n">
        <v>1</v>
      </c>
      <c r="BF22" s="204" t="n">
        <v>1</v>
      </c>
      <c r="BG22" s="208" t="n">
        <v>0</v>
      </c>
      <c r="BH22" s="210" t="n">
        <v>1</v>
      </c>
      <c r="BI22" s="210" t="n">
        <v>1</v>
      </c>
      <c r="BJ22" s="211" t="n">
        <v>0</v>
      </c>
      <c r="BK22" s="210" t="n">
        <v>3</v>
      </c>
      <c r="BL22" s="211" t="n">
        <v>0</v>
      </c>
      <c r="BM22" s="211" t="n">
        <v>0</v>
      </c>
      <c r="BN22" s="215" t="n">
        <v>0</v>
      </c>
      <c r="BO22" s="215" t="n">
        <v>-1</v>
      </c>
      <c r="BP22" s="215" t="n">
        <v>0</v>
      </c>
      <c r="BQ22" s="216" t="n">
        <v>4</v>
      </c>
    </row>
    <row r="23" ht="15.75" customHeight="1" thickBot="1">
      <c r="A23" s="59" t="inlineStr">
        <is>
          <t>https://open.spotify.com/playlist/0kcisooCdIAiej6J3N2xhI</t>
        </is>
      </c>
      <c r="B23" s="43" t="inlineStr">
        <is>
          <t>AFRO HOUSE 2026 🌴 TEMAZOS 🎶 HITS PARA BAILAR</t>
        </is>
      </c>
      <c r="C23" s="55" t="inlineStr">
        <is>
          <t>0kcisooCdIAiej6J3N2xhI</t>
        </is>
      </c>
      <c r="D23" s="53" t="n">
        <v>181</v>
      </c>
      <c r="E23" s="50" t="n">
        <v>1</v>
      </c>
      <c r="F23" s="50" t="n">
        <v>2</v>
      </c>
      <c r="G23" s="48" t="n">
        <v>3</v>
      </c>
      <c r="H23" s="48" t="n">
        <v>1</v>
      </c>
      <c r="I23" s="70" t="n">
        <v>1</v>
      </c>
      <c r="J23" s="74" t="n">
        <v>0</v>
      </c>
      <c r="K23" s="77" t="n">
        <v>1</v>
      </c>
      <c r="L23" s="79" t="n">
        <v>2</v>
      </c>
      <c r="M23" s="82" t="n">
        <v>2</v>
      </c>
      <c r="N23" s="85" t="n">
        <v>3</v>
      </c>
      <c r="O23" s="89" t="n">
        <v>2</v>
      </c>
      <c r="P23" s="91" t="n">
        <v>4</v>
      </c>
      <c r="Q23" s="95" t="n">
        <v>1</v>
      </c>
      <c r="R23" s="99" t="n">
        <v>3</v>
      </c>
      <c r="S23" s="101" t="n">
        <v>2</v>
      </c>
      <c r="T23" s="105" t="n">
        <v>0</v>
      </c>
      <c r="U23" s="108" t="n">
        <v>0</v>
      </c>
      <c r="V23" s="110" t="n">
        <v>1</v>
      </c>
      <c r="W23" s="114" t="n">
        <v>0</v>
      </c>
      <c r="X23" s="116" t="n">
        <v>1</v>
      </c>
      <c r="Y23" s="119" t="n">
        <v>1</v>
      </c>
      <c r="Z23" s="122" t="n">
        <v>5</v>
      </c>
      <c r="AA23" s="126" t="n">
        <v>2</v>
      </c>
      <c r="AB23" s="128" t="n">
        <v>7</v>
      </c>
      <c r="AC23" s="131" t="n">
        <v>6</v>
      </c>
      <c r="AD23" s="135" t="n">
        <v>2</v>
      </c>
      <c r="AE23" s="139" t="n">
        <v>1</v>
      </c>
      <c r="AF23" s="142" t="n">
        <v>0</v>
      </c>
      <c r="AG23" s="143" t="n">
        <v>5</v>
      </c>
      <c r="AH23" s="147" t="n">
        <v>1</v>
      </c>
      <c r="AI23" s="149" t="n">
        <v>6</v>
      </c>
      <c r="AJ23" s="152" t="n">
        <v>2</v>
      </c>
      <c r="AK23" s="152" t="n">
        <v>2</v>
      </c>
      <c r="AL23" s="157" t="n">
        <v>1</v>
      </c>
      <c r="AM23" s="159" t="n">
        <v>3</v>
      </c>
      <c r="AN23" s="162" t="n">
        <v>2</v>
      </c>
      <c r="AO23" s="162" t="n">
        <v>1</v>
      </c>
      <c r="AP23" s="164" t="n">
        <v>4</v>
      </c>
      <c r="AQ23" s="169" t="n">
        <v>0</v>
      </c>
      <c r="AR23" s="171" t="n">
        <v>2</v>
      </c>
      <c r="AS23" s="173" t="n">
        <v>4</v>
      </c>
      <c r="AT23" s="177" t="n">
        <v>2</v>
      </c>
      <c r="AU23" s="177" t="n">
        <v>3</v>
      </c>
      <c r="AV23" s="181" t="n">
        <v>0</v>
      </c>
      <c r="AW23" s="183" t="n">
        <v>0</v>
      </c>
      <c r="AX23" s="184" t="n">
        <v>1</v>
      </c>
      <c r="AY23" s="187" t="n">
        <v>0</v>
      </c>
      <c r="AZ23" s="190" t="n">
        <v>2</v>
      </c>
      <c r="BA23" s="191" t="n">
        <v>2</v>
      </c>
      <c r="BB23" s="194" t="n">
        <v>2</v>
      </c>
      <c r="BC23" s="199" t="n">
        <v>0</v>
      </c>
      <c r="BD23" s="201" t="n">
        <v>1</v>
      </c>
      <c r="BE23" s="205" t="n">
        <v>0</v>
      </c>
      <c r="BF23" s="205" t="n">
        <v>0</v>
      </c>
      <c r="BG23" s="207" t="n">
        <v>2</v>
      </c>
      <c r="BH23" s="209" t="n">
        <v>4</v>
      </c>
      <c r="BI23" s="210" t="n">
        <v>1</v>
      </c>
      <c r="BJ23" s="210" t="n">
        <v>1</v>
      </c>
      <c r="BK23" s="210" t="n">
        <v>1</v>
      </c>
      <c r="BL23" s="211" t="n">
        <v>0</v>
      </c>
      <c r="BM23" s="210" t="n">
        <v>1</v>
      </c>
      <c r="BN23" s="214" t="n">
        <v>1</v>
      </c>
      <c r="BO23" s="214" t="n">
        <v>1</v>
      </c>
      <c r="BP23" s="215" t="n">
        <v>0</v>
      </c>
      <c r="BQ23" s="215" t="n">
        <v>0</v>
      </c>
    </row>
    <row r="24" ht="15.75" customHeight="1" thickBot="1">
      <c r="A24" s="59" t="inlineStr">
        <is>
          <t>https://open.spotify.com/playlist/27owynNDpqUGkagr0CtmLK</t>
        </is>
      </c>
      <c r="B24" s="43" t="inlineStr">
        <is>
          <t>BEST CAR MUSIC 2026 🚗 BASS BOOSTED 🔥 CAR DROPS</t>
        </is>
      </c>
      <c r="C24" s="55" t="inlineStr">
        <is>
          <t>27owynNDpqUGkagr0CtmLK</t>
        </is>
      </c>
      <c r="D24" s="53" t="n">
        <v>133</v>
      </c>
      <c r="E24" s="50" t="n">
        <v>1</v>
      </c>
      <c r="F24" s="50" t="n">
        <v>2</v>
      </c>
      <c r="G24" s="48" t="n">
        <v>1</v>
      </c>
      <c r="H24" s="48" t="n">
        <v>0</v>
      </c>
      <c r="I24" s="71" t="n">
        <v>0</v>
      </c>
      <c r="J24" s="73" t="n">
        <v>1</v>
      </c>
      <c r="K24" s="76" t="n">
        <v>0</v>
      </c>
      <c r="L24" s="79" t="n">
        <v>1</v>
      </c>
      <c r="M24" s="81" t="n">
        <v>5</v>
      </c>
      <c r="N24" s="86" t="n">
        <v>0</v>
      </c>
      <c r="O24" s="89" t="n">
        <v>2</v>
      </c>
      <c r="P24" s="93" t="n">
        <v>0</v>
      </c>
      <c r="Q24" s="95" t="n">
        <v>1</v>
      </c>
      <c r="R24" s="99" t="n">
        <v>1</v>
      </c>
      <c r="S24" s="101" t="n">
        <v>2</v>
      </c>
      <c r="T24" s="105" t="n">
        <v>0</v>
      </c>
      <c r="U24" s="107" t="n">
        <v>1</v>
      </c>
      <c r="V24" s="110" t="n">
        <v>1</v>
      </c>
      <c r="W24" s="113" t="n">
        <v>2</v>
      </c>
      <c r="X24" s="116" t="n">
        <v>1</v>
      </c>
      <c r="Y24" s="118" t="n">
        <v>4</v>
      </c>
      <c r="Z24" s="121" t="n">
        <v>1</v>
      </c>
      <c r="AA24" s="126" t="n">
        <v>2</v>
      </c>
      <c r="AB24" s="130" t="n">
        <v>0</v>
      </c>
      <c r="AC24" s="131" t="n">
        <v>5</v>
      </c>
      <c r="AD24" s="135" t="n">
        <v>1</v>
      </c>
      <c r="AE24" s="139" t="n">
        <v>3</v>
      </c>
      <c r="AF24" s="141" t="n">
        <v>3</v>
      </c>
      <c r="AG24" s="145" t="n">
        <v>0</v>
      </c>
      <c r="AH24" s="147" t="n">
        <v>1</v>
      </c>
      <c r="AI24" s="150" t="n">
        <v>1</v>
      </c>
      <c r="AJ24" s="152" t="n">
        <v>1</v>
      </c>
      <c r="AK24" s="154" t="n">
        <v>-1</v>
      </c>
      <c r="AL24" s="157" t="n">
        <v>2</v>
      </c>
      <c r="AM24" s="159" t="n">
        <v>3</v>
      </c>
      <c r="AN24" s="162" t="n">
        <v>1</v>
      </c>
      <c r="AO24" s="162" t="n">
        <v>1</v>
      </c>
      <c r="AP24" s="165" t="n">
        <v>1</v>
      </c>
      <c r="AQ24" s="168" t="n">
        <v>3</v>
      </c>
      <c r="AR24" s="172" t="n">
        <v>0</v>
      </c>
      <c r="AS24" s="174" t="n">
        <v>2</v>
      </c>
      <c r="AT24" s="178" t="n">
        <v>0</v>
      </c>
      <c r="AU24" s="177" t="n">
        <v>1</v>
      </c>
      <c r="AV24" s="181" t="n">
        <v>-1</v>
      </c>
      <c r="AW24" s="183" t="n">
        <v>-1</v>
      </c>
      <c r="AX24" s="184" t="n">
        <v>2</v>
      </c>
      <c r="AY24" s="187" t="n">
        <v>0</v>
      </c>
      <c r="AZ24" s="190" t="n">
        <v>1</v>
      </c>
      <c r="BA24" s="191" t="n">
        <v>1</v>
      </c>
      <c r="BB24" s="196" t="n">
        <v>0</v>
      </c>
      <c r="BC24" s="199" t="n">
        <v>0</v>
      </c>
      <c r="BD24" s="202" t="n">
        <v>0</v>
      </c>
      <c r="BE24" s="205" t="n">
        <v>-1</v>
      </c>
      <c r="BF24" s="204" t="n">
        <v>1</v>
      </c>
      <c r="BG24" s="207" t="n">
        <v>1</v>
      </c>
      <c r="BH24" s="211" t="n">
        <v>0</v>
      </c>
      <c r="BI24" s="210" t="n">
        <v>2</v>
      </c>
      <c r="BJ24" s="211" t="n">
        <v>0</v>
      </c>
      <c r="BK24" s="211" t="n">
        <v>0</v>
      </c>
      <c r="BL24" s="211" t="n">
        <v>0</v>
      </c>
      <c r="BM24" s="211" t="n">
        <v>0</v>
      </c>
      <c r="BN24" s="215" t="n">
        <v>-1</v>
      </c>
      <c r="BO24" s="215" t="n">
        <v>0</v>
      </c>
      <c r="BP24" s="214" t="n">
        <v>1</v>
      </c>
      <c r="BQ24" s="215" t="n">
        <v>0</v>
      </c>
    </row>
    <row r="25" ht="15.75" customHeight="1" thickBot="1">
      <c r="A25" s="59" t="inlineStr">
        <is>
          <t>https://open.spotify.com/playlist/6WaN310mfMNBaIyL5zpKyE</t>
        </is>
      </c>
      <c r="B25" s="43" t="inlineStr">
        <is>
          <t>RUNNING MUSIC 170 BPM 2026 🏃‍♂️ HIGH-TEMPO ⚡ FAST BPM WORKOUT</t>
        </is>
      </c>
      <c r="C25" s="55" t="inlineStr">
        <is>
          <t>6WaN310mfMNBaIyL5zpKyE</t>
        </is>
      </c>
      <c r="D25" s="53" t="n">
        <v>162</v>
      </c>
      <c r="E25" s="50" t="n">
        <v>1</v>
      </c>
      <c r="F25" s="50" t="n">
        <v>1</v>
      </c>
      <c r="G25" s="48" t="n">
        <v>0</v>
      </c>
      <c r="H25" s="48" t="n">
        <v>2</v>
      </c>
      <c r="I25" s="71" t="n">
        <v>0</v>
      </c>
      <c r="J25" s="73" t="n">
        <v>1</v>
      </c>
      <c r="K25" s="77" t="n">
        <v>1</v>
      </c>
      <c r="L25" s="79" t="n">
        <v>3</v>
      </c>
      <c r="M25" s="82" t="n">
        <v>1</v>
      </c>
      <c r="N25" s="86" t="n">
        <v>0</v>
      </c>
      <c r="O25" s="89" t="n">
        <v>3</v>
      </c>
      <c r="P25" s="92" t="n">
        <v>2</v>
      </c>
      <c r="Q25" s="96" t="n">
        <v>0</v>
      </c>
      <c r="R25" s="99" t="n">
        <v>1</v>
      </c>
      <c r="S25" s="101" t="n">
        <v>1</v>
      </c>
      <c r="T25" s="104" t="n">
        <v>1</v>
      </c>
      <c r="U25" s="107" t="n">
        <v>1</v>
      </c>
      <c r="V25" s="110" t="n">
        <v>3</v>
      </c>
      <c r="W25" s="112" t="n">
        <v>5</v>
      </c>
      <c r="X25" s="115" t="n">
        <v>4</v>
      </c>
      <c r="Y25" s="118" t="n">
        <v>5</v>
      </c>
      <c r="Z25" s="122" t="n">
        <v>5</v>
      </c>
      <c r="AA25" s="126" t="n">
        <v>2</v>
      </c>
      <c r="AB25" s="129" t="n">
        <v>1</v>
      </c>
      <c r="AC25" s="133" t="n">
        <v>0</v>
      </c>
      <c r="AD25" s="135" t="n">
        <v>2</v>
      </c>
      <c r="AE25" s="139" t="n">
        <v>1</v>
      </c>
      <c r="AF25" s="141" t="n">
        <v>1</v>
      </c>
      <c r="AG25" s="144" t="n">
        <v>2</v>
      </c>
      <c r="AH25" s="147" t="n">
        <v>1</v>
      </c>
      <c r="AI25" s="150" t="n">
        <v>1</v>
      </c>
      <c r="AJ25" s="154" t="n">
        <v>0</v>
      </c>
      <c r="AK25" s="152" t="n">
        <v>1</v>
      </c>
      <c r="AL25" s="156" t="n">
        <v>0</v>
      </c>
      <c r="AM25" s="160" t="n">
        <v>0</v>
      </c>
      <c r="AN25" s="161" t="n">
        <v>5</v>
      </c>
      <c r="AO25" s="161" t="n">
        <v>5</v>
      </c>
      <c r="AP25" s="165" t="n">
        <v>2</v>
      </c>
      <c r="AQ25" s="169" t="n">
        <v>0</v>
      </c>
      <c r="AR25" s="171" t="n">
        <v>1</v>
      </c>
      <c r="AS25" s="175" t="n">
        <v>0</v>
      </c>
      <c r="AT25" s="177" t="n">
        <v>2</v>
      </c>
      <c r="AU25" s="177" t="n">
        <v>1</v>
      </c>
      <c r="AV25" s="179" t="n">
        <v>5</v>
      </c>
      <c r="AW25" s="184" t="n">
        <v>1</v>
      </c>
      <c r="AX25" s="183" t="n">
        <v>0</v>
      </c>
      <c r="AY25" s="187" t="n">
        <v>0</v>
      </c>
      <c r="AZ25" s="190" t="n">
        <v>2</v>
      </c>
      <c r="BA25" s="192" t="n">
        <v>0</v>
      </c>
      <c r="BB25" s="194" t="n">
        <v>1</v>
      </c>
      <c r="BC25" s="198" t="n">
        <v>1</v>
      </c>
      <c r="BD25" s="202" t="n">
        <v>0</v>
      </c>
      <c r="BE25" s="205" t="n">
        <v>0</v>
      </c>
      <c r="BF25" s="204" t="n">
        <v>3</v>
      </c>
      <c r="BG25" s="207" t="n">
        <v>2</v>
      </c>
      <c r="BH25" s="209" t="n">
        <v>4</v>
      </c>
      <c r="BI25" s="211" t="n">
        <v>-1</v>
      </c>
      <c r="BJ25" s="210" t="n">
        <v>2</v>
      </c>
      <c r="BK25" s="211" t="n">
        <v>0</v>
      </c>
      <c r="BL25" s="211" t="n">
        <v>0</v>
      </c>
      <c r="BM25" s="211" t="n">
        <v>0</v>
      </c>
      <c r="BN25" s="215" t="n">
        <v>0</v>
      </c>
      <c r="BO25" s="214" t="n">
        <v>1</v>
      </c>
      <c r="BP25" s="215" t="n">
        <v>0</v>
      </c>
      <c r="BQ25" s="214" t="n">
        <v>2</v>
      </c>
    </row>
    <row r="26" ht="15.75" customHeight="1" thickBot="1">
      <c r="A26" s="59" t="inlineStr">
        <is>
          <t>https://open.spotify.com/playlist/2UvBAuWrwzSzb8PzUgCNt6</t>
        </is>
      </c>
      <c r="B26" s="43" t="inlineStr">
        <is>
          <t>POP CHILL 2026 🕯 RELAXING HITS 🌿 CHILL POP SONGS</t>
        </is>
      </c>
      <c r="C26" s="55" t="inlineStr">
        <is>
          <t>2UvBAuWrwzSzb8PzUgCNt6</t>
        </is>
      </c>
      <c r="D26" s="53" t="n">
        <v>171</v>
      </c>
      <c r="E26" s="50" t="n">
        <v>2</v>
      </c>
      <c r="F26" s="50" t="n">
        <v>3</v>
      </c>
      <c r="G26" s="48" t="n">
        <v>3</v>
      </c>
      <c r="H26" s="48" t="n">
        <v>0</v>
      </c>
      <c r="I26" s="70" t="n">
        <v>1</v>
      </c>
      <c r="J26" s="73" t="n">
        <v>1</v>
      </c>
      <c r="K26" s="77" t="n">
        <v>2</v>
      </c>
      <c r="L26" s="79" t="n">
        <v>2</v>
      </c>
      <c r="M26" s="83" t="n">
        <v>0</v>
      </c>
      <c r="N26" s="85" t="n">
        <v>3</v>
      </c>
      <c r="O26" s="89" t="n">
        <v>3</v>
      </c>
      <c r="P26" s="92" t="n">
        <v>2</v>
      </c>
      <c r="Q26" s="96" t="n">
        <v>0</v>
      </c>
      <c r="R26" s="99" t="n">
        <v>1</v>
      </c>
      <c r="S26" s="102" t="n">
        <v>0</v>
      </c>
      <c r="T26" s="105" t="n">
        <v>0</v>
      </c>
      <c r="U26" s="107" t="n">
        <v>3</v>
      </c>
      <c r="V26" s="110" t="n">
        <v>3</v>
      </c>
      <c r="W26" s="113" t="n">
        <v>2</v>
      </c>
      <c r="X26" s="116" t="n">
        <v>1</v>
      </c>
      <c r="Y26" s="119" t="n">
        <v>3</v>
      </c>
      <c r="Z26" s="121" t="n">
        <v>3</v>
      </c>
      <c r="AA26" s="126" t="n">
        <v>1</v>
      </c>
      <c r="AB26" s="128" t="n">
        <v>4</v>
      </c>
      <c r="AC26" s="131" t="n">
        <v>6</v>
      </c>
      <c r="AD26" s="135" t="n">
        <v>2</v>
      </c>
      <c r="AE26" s="138" t="n">
        <v>-1</v>
      </c>
      <c r="AF26" s="141" t="n">
        <v>1</v>
      </c>
      <c r="AG26" s="144" t="n">
        <v>1</v>
      </c>
      <c r="AH26" s="147" t="n">
        <v>1</v>
      </c>
      <c r="AI26" s="149" t="n">
        <v>4</v>
      </c>
      <c r="AJ26" s="154" t="n">
        <v>0</v>
      </c>
      <c r="AK26" s="152" t="n">
        <v>1</v>
      </c>
      <c r="AL26" s="155" t="n">
        <v>5</v>
      </c>
      <c r="AM26" s="160" t="n">
        <v>0</v>
      </c>
      <c r="AN26" s="161" t="n">
        <v>2</v>
      </c>
      <c r="AO26" s="161" t="n">
        <v>2</v>
      </c>
      <c r="AP26" s="166" t="n">
        <v>0</v>
      </c>
      <c r="AQ26" s="168" t="n">
        <v>1</v>
      </c>
      <c r="AR26" s="171" t="n">
        <v>2</v>
      </c>
      <c r="AS26" s="175" t="n">
        <v>0</v>
      </c>
      <c r="AT26" s="177" t="n">
        <v>2</v>
      </c>
      <c r="AU26" s="178" t="n">
        <v>-1</v>
      </c>
      <c r="AV26" s="179" t="n">
        <v>4</v>
      </c>
      <c r="AW26" s="183" t="n">
        <v>0</v>
      </c>
      <c r="AX26" s="183" t="n">
        <v>0</v>
      </c>
      <c r="AY26" s="187" t="n">
        <v>0</v>
      </c>
      <c r="AZ26" s="190" t="n">
        <v>1</v>
      </c>
      <c r="BA26" s="191" t="n">
        <v>2</v>
      </c>
      <c r="BB26" s="194" t="n">
        <v>1</v>
      </c>
      <c r="BC26" s="198" t="n">
        <v>1</v>
      </c>
      <c r="BD26" s="201" t="n">
        <v>2</v>
      </c>
      <c r="BE26" s="204" t="n">
        <v>1</v>
      </c>
      <c r="BF26" s="205" t="n">
        <v>0</v>
      </c>
      <c r="BG26" s="207" t="n">
        <v>3</v>
      </c>
      <c r="BH26" s="210" t="n">
        <v>1</v>
      </c>
      <c r="BI26" s="211" t="n">
        <v>0</v>
      </c>
      <c r="BJ26" s="210" t="n">
        <v>3</v>
      </c>
      <c r="BK26" s="211" t="n">
        <v>0</v>
      </c>
      <c r="BL26" s="210" t="n">
        <v>3</v>
      </c>
      <c r="BM26" s="210" t="n">
        <v>1</v>
      </c>
      <c r="BN26" s="214" t="n">
        <v>2</v>
      </c>
      <c r="BO26" s="214" t="n">
        <v>2</v>
      </c>
      <c r="BP26" s="214" t="n">
        <v>2</v>
      </c>
      <c r="BQ26" s="214" t="n">
        <v>2</v>
      </c>
    </row>
    <row r="27" ht="15.75" customHeight="1" thickBot="1">
      <c r="A27" s="59" t="inlineStr">
        <is>
          <t>https://open.spotify.com/playlist/0vrioIpruQojngSQBE8rdu</t>
        </is>
      </c>
      <c r="B27" s="43" t="inlineStr">
        <is>
          <t>EXERCISE SONGS 130-150 BPM 2026 💦 CARDIO WORKOUT 💪 GYM MOTIVATION</t>
        </is>
      </c>
      <c r="C27" s="55" t="inlineStr">
        <is>
          <t>0vrioIpruQojngSQBE8rdu</t>
        </is>
      </c>
      <c r="D27" s="53" t="n">
        <v>185</v>
      </c>
      <c r="E27" s="50" t="n">
        <v>2</v>
      </c>
      <c r="F27" s="50" t="n">
        <v>2</v>
      </c>
      <c r="G27" s="48" t="n">
        <v>0</v>
      </c>
      <c r="H27" s="48" t="n">
        <v>1</v>
      </c>
      <c r="I27" s="70" t="n">
        <v>2</v>
      </c>
      <c r="J27" s="74" t="n">
        <v>-1</v>
      </c>
      <c r="K27" s="77" t="n">
        <v>2</v>
      </c>
      <c r="L27" s="79" t="n">
        <v>3</v>
      </c>
      <c r="M27" s="82" t="n">
        <v>2</v>
      </c>
      <c r="N27" s="84" t="n">
        <v>7</v>
      </c>
      <c r="O27" s="89" t="n">
        <v>2</v>
      </c>
      <c r="P27" s="91" t="n">
        <v>4</v>
      </c>
      <c r="Q27" s="95" t="n">
        <v>1</v>
      </c>
      <c r="R27" s="99" t="n">
        <v>1</v>
      </c>
      <c r="S27" s="101" t="n">
        <v>3</v>
      </c>
      <c r="T27" s="104" t="n">
        <v>1</v>
      </c>
      <c r="U27" s="108" t="n">
        <v>0</v>
      </c>
      <c r="V27" s="110" t="n">
        <v>1</v>
      </c>
      <c r="W27" s="113" t="n">
        <v>2</v>
      </c>
      <c r="X27" s="117" t="n">
        <v>0</v>
      </c>
      <c r="Y27" s="119" t="n">
        <v>1</v>
      </c>
      <c r="Z27" s="121" t="n">
        <v>2</v>
      </c>
      <c r="AA27" s="126" t="n">
        <v>2</v>
      </c>
      <c r="AB27" s="130" t="n">
        <v>0</v>
      </c>
      <c r="AC27" s="132" t="n">
        <v>2</v>
      </c>
      <c r="AD27" s="135" t="n">
        <v>1</v>
      </c>
      <c r="AE27" s="139" t="n">
        <v>1</v>
      </c>
      <c r="AF27" s="142" t="n">
        <v>0</v>
      </c>
      <c r="AG27" s="144" t="n">
        <v>1</v>
      </c>
      <c r="AH27" s="147" t="n">
        <v>3</v>
      </c>
      <c r="AI27" s="150" t="n">
        <v>3</v>
      </c>
      <c r="AJ27" s="152" t="n">
        <v>2</v>
      </c>
      <c r="AK27" s="152" t="n">
        <v>2</v>
      </c>
      <c r="AL27" s="156" t="n">
        <v>0</v>
      </c>
      <c r="AM27" s="159" t="n">
        <v>2</v>
      </c>
      <c r="AN27" s="161" t="n">
        <v>3</v>
      </c>
      <c r="AO27" s="161" t="n">
        <v>2</v>
      </c>
      <c r="AP27" s="165" t="n">
        <v>3</v>
      </c>
      <c r="AQ27" s="168" t="n">
        <v>1</v>
      </c>
      <c r="AR27" s="172" t="n">
        <v>0</v>
      </c>
      <c r="AS27" s="174" t="n">
        <v>3</v>
      </c>
      <c r="AT27" s="177" t="n">
        <v>2</v>
      </c>
      <c r="AU27" s="177" t="n">
        <v>1</v>
      </c>
      <c r="AV27" s="181" t="n">
        <v>0</v>
      </c>
      <c r="AW27" s="182" t="n">
        <v>4</v>
      </c>
      <c r="AX27" s="184" t="n">
        <v>3</v>
      </c>
      <c r="AY27" s="186" t="n">
        <v>1</v>
      </c>
      <c r="AZ27" s="190" t="n">
        <v>2</v>
      </c>
      <c r="BA27" s="191" t="n">
        <v>3</v>
      </c>
      <c r="BB27" s="195" t="n">
        <v>4</v>
      </c>
      <c r="BC27" s="198" t="n">
        <v>1</v>
      </c>
      <c r="BD27" s="201" t="n">
        <v>1</v>
      </c>
      <c r="BE27" s="204" t="n">
        <v>1</v>
      </c>
      <c r="BF27" s="204" t="n">
        <v>2</v>
      </c>
      <c r="BG27" s="206" t="n">
        <v>6</v>
      </c>
      <c r="BH27" s="210" t="n">
        <v>1</v>
      </c>
      <c r="BI27" s="210" t="n">
        <v>2</v>
      </c>
      <c r="BJ27" s="210" t="n">
        <v>3</v>
      </c>
      <c r="BK27" s="210" t="n">
        <v>1</v>
      </c>
      <c r="BL27" s="210" t="n">
        <v>1</v>
      </c>
      <c r="BM27" s="209" t="n">
        <v>4</v>
      </c>
      <c r="BN27" s="216" t="n">
        <v>4</v>
      </c>
      <c r="BO27" s="214" t="n">
        <v>1</v>
      </c>
      <c r="BP27" s="214" t="n">
        <v>1</v>
      </c>
      <c r="BQ27" s="214" t="n">
        <v>2</v>
      </c>
    </row>
    <row r="28" ht="15.75" customHeight="1" thickBot="1">
      <c r="A28" s="59" t="inlineStr">
        <is>
          <t>https://open.spotify.com/playlist/0FQStoL6nmjdxVTCuP31xQ</t>
        </is>
      </c>
      <c r="B28" s="45" t="inlineStr">
        <is>
          <t>TOP UK GARAGE 2026 ⚡ SPEED GARAGE 🎶 BASSLINE &amp; UKG</t>
        </is>
      </c>
      <c r="C28" s="57" t="inlineStr">
        <is>
          <t>0FQStoL6nmjdxVTCuP31xQ</t>
        </is>
      </c>
      <c r="D28" s="53" t="n">
        <v>79</v>
      </c>
      <c r="E28" s="50" t="n">
        <v>0</v>
      </c>
      <c r="F28" s="50" t="n">
        <v>0</v>
      </c>
      <c r="G28" s="48" t="n">
        <v>0</v>
      </c>
      <c r="H28" s="48" t="n">
        <v>0</v>
      </c>
      <c r="I28" s="71" t="n">
        <v>0</v>
      </c>
      <c r="J28" s="74" t="n">
        <v>0</v>
      </c>
      <c r="K28" s="76" t="n">
        <v>0</v>
      </c>
      <c r="L28" s="80" t="n">
        <v>0</v>
      </c>
      <c r="M28" s="82" t="n">
        <v>3</v>
      </c>
      <c r="N28" s="85" t="n">
        <v>2</v>
      </c>
      <c r="O28" s="89" t="n">
        <v>3</v>
      </c>
      <c r="P28" s="92" t="n">
        <v>1</v>
      </c>
      <c r="Q28" s="95" t="n">
        <v>2</v>
      </c>
      <c r="R28" s="98" t="n">
        <v>0</v>
      </c>
      <c r="S28" s="101" t="n">
        <v>3</v>
      </c>
      <c r="T28" s="104" t="n">
        <v>1</v>
      </c>
      <c r="U28" s="108" t="n">
        <v>0</v>
      </c>
      <c r="V28" s="111" t="n">
        <v>0</v>
      </c>
      <c r="W28" s="114" t="n">
        <v>0</v>
      </c>
      <c r="X28" s="117" t="n">
        <v>0</v>
      </c>
      <c r="Y28" s="119" t="n">
        <v>1</v>
      </c>
      <c r="Z28" s="123" t="n">
        <v>0</v>
      </c>
      <c r="AA28" s="127" t="n">
        <v>0</v>
      </c>
      <c r="AB28" s="129" t="n">
        <v>1</v>
      </c>
      <c r="AC28" s="133" t="n">
        <v>0</v>
      </c>
      <c r="AD28" s="135" t="n">
        <v>1</v>
      </c>
      <c r="AE28" s="139" t="n">
        <v>2</v>
      </c>
      <c r="AF28" s="141" t="n">
        <v>1</v>
      </c>
      <c r="AG28" s="144" t="n">
        <v>1</v>
      </c>
      <c r="AH28" s="147" t="n">
        <v>1</v>
      </c>
      <c r="AI28" s="151" t="n">
        <v>0</v>
      </c>
      <c r="AJ28" s="154" t="n">
        <v>0</v>
      </c>
      <c r="AK28" s="154" t="n">
        <v>0</v>
      </c>
      <c r="AL28" s="156" t="n">
        <v>0</v>
      </c>
      <c r="AM28" s="160" t="n">
        <v>0</v>
      </c>
      <c r="AN28" s="163" t="n">
        <v>-1</v>
      </c>
      <c r="AO28" s="163" t="n">
        <v>0</v>
      </c>
      <c r="AP28" s="166" t="n">
        <v>0</v>
      </c>
      <c r="AQ28" s="168" t="n">
        <v>3</v>
      </c>
      <c r="AR28" s="172" t="n">
        <v>0</v>
      </c>
      <c r="AS28" s="174" t="n">
        <v>1</v>
      </c>
      <c r="AT28" s="178" t="n">
        <v>-1</v>
      </c>
      <c r="AU28" s="178" t="n">
        <v>0</v>
      </c>
      <c r="AV28" s="181" t="n">
        <v>0</v>
      </c>
      <c r="AW28" s="183" t="n">
        <v>0</v>
      </c>
      <c r="AX28" s="183" t="n">
        <v>-1</v>
      </c>
      <c r="AY28" s="187" t="n">
        <v>0</v>
      </c>
      <c r="AZ28" s="189" t="n">
        <v>0</v>
      </c>
      <c r="BA28" s="192" t="n">
        <v>0</v>
      </c>
      <c r="BB28" s="196" t="n">
        <v>0</v>
      </c>
      <c r="BC28" s="199" t="n">
        <v>0</v>
      </c>
      <c r="BD28" s="202" t="n">
        <v>0</v>
      </c>
      <c r="BE28" s="205" t="n">
        <v>0</v>
      </c>
      <c r="BF28" s="205" t="n">
        <v>0</v>
      </c>
      <c r="BG28" s="207" t="n">
        <v>2</v>
      </c>
      <c r="BH28" s="211" t="n">
        <v>0</v>
      </c>
      <c r="BI28" s="211" t="n">
        <v>0</v>
      </c>
      <c r="BJ28" s="211" t="n">
        <v>-1</v>
      </c>
      <c r="BK28" s="211" t="n">
        <v>0</v>
      </c>
      <c r="BL28" s="211" t="n">
        <v>0</v>
      </c>
      <c r="BM28" s="210" t="n">
        <v>1</v>
      </c>
      <c r="BN28" s="215" t="n">
        <v>0</v>
      </c>
      <c r="BO28" s="215" t="n">
        <v>0</v>
      </c>
      <c r="BP28" s="215" t="n">
        <v>0</v>
      </c>
      <c r="BQ28" s="215" t="n">
        <v>0</v>
      </c>
    </row>
    <row r="29" ht="15.75" customHeight="1" thickBot="1">
      <c r="A29" s="61" t="inlineStr">
        <is>
          <t>https://open.spotify.com/playlist/6RE0TlelSmcy0vJMVIAenH</t>
        </is>
      </c>
      <c r="B29" s="45" t="inlineStr">
        <is>
          <t>TOP CARDIO FUSION 140 BPM 2026 💦 WORKOUT BEATS ⚡ BEST AEROBICS PLAYLIST</t>
        </is>
      </c>
      <c r="C29" s="57" t="inlineStr">
        <is>
          <t>6RE0TlelSmcy0vJMVIAenH</t>
        </is>
      </c>
      <c r="D29" s="53" t="n">
        <v>55</v>
      </c>
      <c r="E29" s="50" t="n">
        <v>0</v>
      </c>
      <c r="F29" s="50" t="n">
        <v>0</v>
      </c>
      <c r="G29" s="48" t="n">
        <v>0</v>
      </c>
      <c r="H29" s="48" t="n">
        <v>1</v>
      </c>
      <c r="I29" s="71" t="n">
        <v>0</v>
      </c>
      <c r="J29" s="73" t="n">
        <v>1</v>
      </c>
      <c r="K29" s="76" t="n">
        <v>0</v>
      </c>
      <c r="L29" s="80" t="n">
        <v>0</v>
      </c>
      <c r="M29" s="82" t="n">
        <v>3</v>
      </c>
      <c r="N29" s="85" t="n">
        <v>2</v>
      </c>
      <c r="O29" s="89" t="n">
        <v>2</v>
      </c>
      <c r="P29" s="93" t="n">
        <v>0</v>
      </c>
      <c r="Q29" s="96" t="n">
        <v>0</v>
      </c>
      <c r="R29" s="98" t="n">
        <v>0</v>
      </c>
      <c r="S29" s="102" t="n">
        <v>0</v>
      </c>
      <c r="T29" s="105" t="n">
        <v>0</v>
      </c>
      <c r="U29" s="107" t="n">
        <v>1</v>
      </c>
      <c r="V29" s="110" t="n">
        <v>1</v>
      </c>
      <c r="W29" s="113" t="n">
        <v>1</v>
      </c>
      <c r="X29" s="117" t="n">
        <v>0</v>
      </c>
      <c r="Y29" s="119" t="n">
        <v>1</v>
      </c>
      <c r="Z29" s="123" t="n">
        <v>0</v>
      </c>
      <c r="AA29" s="127" t="n">
        <v>0</v>
      </c>
      <c r="AB29" s="130" t="n">
        <v>0</v>
      </c>
      <c r="AC29" s="133" t="n">
        <v>0</v>
      </c>
      <c r="AD29" s="136" t="n">
        <v>0</v>
      </c>
      <c r="AE29" s="139" t="n">
        <v>1</v>
      </c>
      <c r="AF29" s="142" t="n">
        <v>0</v>
      </c>
      <c r="AG29" s="145" t="n">
        <v>0</v>
      </c>
      <c r="AH29" s="148" t="n">
        <v>0</v>
      </c>
      <c r="AI29" s="151" t="n">
        <v>0</v>
      </c>
      <c r="AJ29" s="154" t="n">
        <v>0</v>
      </c>
      <c r="AK29" s="152" t="n">
        <v>1</v>
      </c>
      <c r="AL29" s="156" t="n">
        <v>0</v>
      </c>
      <c r="AM29" s="160" t="n">
        <v>0</v>
      </c>
      <c r="AN29" s="163" t="n">
        <v>0</v>
      </c>
      <c r="AO29" s="163" t="n">
        <v>0</v>
      </c>
      <c r="AP29" s="166" t="n">
        <v>0</v>
      </c>
      <c r="AQ29" s="169" t="n">
        <v>0</v>
      </c>
      <c r="AR29" s="171" t="n">
        <v>1</v>
      </c>
      <c r="AS29" s="175" t="n">
        <v>0</v>
      </c>
      <c r="AT29" s="178" t="n">
        <v>0</v>
      </c>
      <c r="AU29" s="178" t="n">
        <v>0</v>
      </c>
      <c r="AV29" s="181" t="n">
        <v>0</v>
      </c>
      <c r="AW29" s="184" t="n">
        <v>1</v>
      </c>
      <c r="AX29" s="183" t="n">
        <v>0</v>
      </c>
      <c r="AY29" s="186" t="n">
        <v>1</v>
      </c>
      <c r="AZ29" s="189" t="n">
        <v>0</v>
      </c>
      <c r="BA29" s="192" t="n">
        <v>0</v>
      </c>
      <c r="BB29" s="196" t="n">
        <v>0</v>
      </c>
      <c r="BC29" s="198" t="n">
        <v>1</v>
      </c>
      <c r="BD29" s="202" t="n">
        <v>0</v>
      </c>
      <c r="BE29" s="205" t="n">
        <v>0</v>
      </c>
      <c r="BF29" s="205" t="n">
        <v>0</v>
      </c>
      <c r="BG29" s="207" t="n">
        <v>1</v>
      </c>
      <c r="BH29" s="211" t="n">
        <v>0</v>
      </c>
      <c r="BI29" s="211" t="n">
        <v>0</v>
      </c>
      <c r="BJ29" s="211" t="n">
        <v>0</v>
      </c>
      <c r="BK29" s="211" t="n">
        <v>0</v>
      </c>
      <c r="BL29" s="211" t="n">
        <v>0</v>
      </c>
      <c r="BM29" s="211" t="n">
        <v>0</v>
      </c>
      <c r="BN29" s="214" t="n">
        <v>1</v>
      </c>
      <c r="BO29" s="215" t="n">
        <v>0</v>
      </c>
      <c r="BP29" s="215" t="n">
        <v>0</v>
      </c>
      <c r="BQ29" s="215" t="n">
        <v>0</v>
      </c>
    </row>
    <row r="30" ht="15.75" customHeight="1" thickBot="1">
      <c r="A30" s="60" t="inlineStr">
        <is>
          <t>https://open.spotify.com/playlist/4zENexAGzkYaETgRogMKQh?si=2d650d1c6c0a4bca</t>
        </is>
      </c>
      <c r="B30" s="43" t="inlineStr">
        <is>
          <t>ADHD SLEEP MUSIC 2026 💤 CALMING SOUNDS 🌙 SLEEP THERAPY</t>
        </is>
      </c>
      <c r="C30" s="55" t="inlineStr">
        <is>
          <t>4zENexAGzkYaETgRogMKQh</t>
        </is>
      </c>
      <c r="D30" s="53" t="n">
        <v>95</v>
      </c>
      <c r="E30" s="50" t="n">
        <v>0</v>
      </c>
      <c r="F30" s="50" t="n">
        <v>3</v>
      </c>
      <c r="G30" s="48" t="n">
        <v>1</v>
      </c>
      <c r="H30" s="48" t="n">
        <v>1</v>
      </c>
      <c r="I30" s="71" t="n">
        <v>0</v>
      </c>
      <c r="J30" s="74" t="n">
        <v>0</v>
      </c>
      <c r="K30" s="76" t="n">
        <v>0</v>
      </c>
      <c r="L30" s="80" t="n">
        <v>0</v>
      </c>
      <c r="M30" s="82" t="n">
        <v>2</v>
      </c>
      <c r="N30" s="86" t="n">
        <v>0</v>
      </c>
      <c r="O30" s="90" t="n">
        <v>0</v>
      </c>
      <c r="P30" s="92" t="n">
        <v>1</v>
      </c>
      <c r="Q30" s="96" t="n">
        <v>0</v>
      </c>
      <c r="R30" s="98" t="n">
        <v>0</v>
      </c>
      <c r="S30" s="101" t="n">
        <v>2</v>
      </c>
      <c r="T30" s="105" t="n">
        <v>0</v>
      </c>
      <c r="U30" s="106" t="n">
        <v>4</v>
      </c>
      <c r="V30" s="111" t="n">
        <v>0</v>
      </c>
      <c r="W30" s="114" t="n">
        <v>0</v>
      </c>
      <c r="X30" s="116" t="n">
        <v>1</v>
      </c>
      <c r="Y30" s="120" t="n">
        <v>0</v>
      </c>
      <c r="Z30" s="121" t="n">
        <v>1</v>
      </c>
      <c r="AA30" s="127" t="n">
        <v>0</v>
      </c>
      <c r="AB30" s="129" t="n">
        <v>1</v>
      </c>
      <c r="AC30" s="132" t="n">
        <v>2</v>
      </c>
      <c r="AD30" s="135" t="n">
        <v>1</v>
      </c>
      <c r="AE30" s="139" t="n">
        <v>2</v>
      </c>
      <c r="AF30" s="142" t="n">
        <v>0</v>
      </c>
      <c r="AG30" s="144" t="n">
        <v>1</v>
      </c>
      <c r="AH30" s="147" t="n">
        <v>1</v>
      </c>
      <c r="AI30" s="150" t="n">
        <v>1</v>
      </c>
      <c r="AJ30" s="152" t="n">
        <v>2</v>
      </c>
      <c r="AK30" s="154" t="n">
        <v>0</v>
      </c>
      <c r="AL30" s="156" t="n">
        <v>0</v>
      </c>
      <c r="AM30" s="160" t="n">
        <v>0</v>
      </c>
      <c r="AN30" s="161" t="n">
        <v>2</v>
      </c>
      <c r="AO30" s="161" t="n">
        <v>2</v>
      </c>
      <c r="AP30" s="166" t="n">
        <v>-1</v>
      </c>
      <c r="AQ30" s="168" t="n">
        <v>1</v>
      </c>
      <c r="AR30" s="171" t="n">
        <v>3</v>
      </c>
      <c r="AS30" s="174" t="n">
        <v>1</v>
      </c>
      <c r="AT30" s="178" t="n">
        <v>0</v>
      </c>
      <c r="AU30" s="177" t="n">
        <v>1</v>
      </c>
      <c r="AV30" s="181" t="n">
        <v>0</v>
      </c>
      <c r="AW30" s="184" t="n">
        <v>1</v>
      </c>
      <c r="AX30" s="184" t="n">
        <v>2</v>
      </c>
      <c r="AY30" s="187" t="n">
        <v>0</v>
      </c>
      <c r="AZ30" s="189" t="n">
        <v>0</v>
      </c>
      <c r="BA30" s="191" t="n">
        <v>1</v>
      </c>
      <c r="BB30" s="196" t="n">
        <v>0</v>
      </c>
      <c r="BC30" s="198" t="n">
        <v>3</v>
      </c>
      <c r="BD30" s="201" t="n">
        <v>1</v>
      </c>
      <c r="BE30" s="204" t="n">
        <v>1</v>
      </c>
      <c r="BF30" s="204" t="n">
        <v>1</v>
      </c>
      <c r="BG30" s="207" t="n">
        <v>1</v>
      </c>
      <c r="BH30" s="211" t="n">
        <v>0</v>
      </c>
      <c r="BI30" s="211" t="n">
        <v>0</v>
      </c>
      <c r="BJ30" s="211" t="n">
        <v>0</v>
      </c>
      <c r="BK30" s="210" t="n">
        <v>2</v>
      </c>
      <c r="BL30" s="210" t="n">
        <v>1</v>
      </c>
      <c r="BM30" s="211" t="n">
        <v>0</v>
      </c>
      <c r="BN30" s="215" t="n">
        <v>0</v>
      </c>
      <c r="BO30" s="214" t="n">
        <v>1</v>
      </c>
      <c r="BP30" s="215" t="n">
        <v>0</v>
      </c>
      <c r="BQ30" s="215" t="n">
        <v>0</v>
      </c>
    </row>
    <row r="31" ht="15.75" customHeight="1" thickBot="1">
      <c r="A31" s="59" t="inlineStr">
        <is>
          <t>https://open.spotify.com/playlist/1hwLKsOim9mJfDi1bK9q75</t>
        </is>
      </c>
      <c r="B31" s="43" t="inlineStr">
        <is>
          <t>ANIME PHONK GYM 2026 🔥 MUSCLE HACKING 💪 ANIME LIFTS</t>
        </is>
      </c>
      <c r="C31" s="55" t="inlineStr">
        <is>
          <t>1hwLKsOim9mJfDi1bK9q75</t>
        </is>
      </c>
      <c r="D31" s="53" t="n">
        <v>49</v>
      </c>
      <c r="E31" s="50" t="n">
        <v>0</v>
      </c>
      <c r="F31" s="50" t="n">
        <v>0</v>
      </c>
      <c r="G31" s="48" t="n">
        <v>1</v>
      </c>
      <c r="H31" s="48" t="n">
        <v>0</v>
      </c>
      <c r="I31" s="71" t="n">
        <v>0</v>
      </c>
      <c r="J31" s="73" t="n">
        <v>2</v>
      </c>
      <c r="K31" s="77" t="n">
        <v>1</v>
      </c>
      <c r="L31" s="80" t="n">
        <v>-1</v>
      </c>
      <c r="M31" s="83" t="n">
        <v>0</v>
      </c>
      <c r="N31" s="85" t="n">
        <v>1</v>
      </c>
      <c r="O31" s="90" t="n">
        <v>0</v>
      </c>
      <c r="P31" s="93" t="n">
        <v>0</v>
      </c>
      <c r="Q31" s="96" t="n">
        <v>0</v>
      </c>
      <c r="R31" s="99" t="n">
        <v>1</v>
      </c>
      <c r="S31" s="102" t="n">
        <v>0</v>
      </c>
      <c r="T31" s="104" t="n">
        <v>2</v>
      </c>
      <c r="U31" s="108" t="n">
        <v>-1</v>
      </c>
      <c r="V31" s="110" t="n">
        <v>2</v>
      </c>
      <c r="W31" s="114" t="n">
        <v>0</v>
      </c>
      <c r="X31" s="117" t="n">
        <v>0</v>
      </c>
      <c r="Y31" s="120" t="n">
        <v>0</v>
      </c>
      <c r="Z31" s="123" t="n">
        <v>0</v>
      </c>
      <c r="AA31" s="127" t="n">
        <v>0</v>
      </c>
      <c r="AB31" s="130" t="n">
        <v>0</v>
      </c>
      <c r="AC31" s="133" t="n">
        <v>0</v>
      </c>
      <c r="AD31" s="136" t="n">
        <v>0</v>
      </c>
      <c r="AE31" s="138" t="n">
        <v>0</v>
      </c>
      <c r="AF31" s="142" t="n">
        <v>0</v>
      </c>
      <c r="AG31" s="144" t="n">
        <v>1</v>
      </c>
      <c r="AH31" s="147" t="n">
        <v>1</v>
      </c>
      <c r="AI31" s="151" t="n">
        <v>0</v>
      </c>
      <c r="AJ31" s="152" t="n">
        <v>2</v>
      </c>
      <c r="AK31" s="154" t="n">
        <v>0</v>
      </c>
      <c r="AL31" s="156" t="n">
        <v>0</v>
      </c>
      <c r="AM31" s="160" t="n">
        <v>0</v>
      </c>
      <c r="AN31" s="163" t="n">
        <v>0</v>
      </c>
      <c r="AO31" s="163" t="n">
        <v>0</v>
      </c>
      <c r="AP31" s="166" t="n">
        <v>0</v>
      </c>
      <c r="AQ31" s="168" t="n">
        <v>1</v>
      </c>
      <c r="AR31" s="172" t="n">
        <v>0</v>
      </c>
      <c r="AS31" s="175" t="n">
        <v>0</v>
      </c>
      <c r="AT31" s="178" t="n">
        <v>0</v>
      </c>
      <c r="AU31" s="178" t="n">
        <v>0</v>
      </c>
      <c r="AV31" s="181" t="n">
        <v>0</v>
      </c>
      <c r="AW31" s="183" t="n">
        <v>0</v>
      </c>
      <c r="AX31" s="184" t="n">
        <v>1</v>
      </c>
      <c r="AY31" s="187" t="n">
        <v>0</v>
      </c>
      <c r="AZ31" s="189" t="n">
        <v>0</v>
      </c>
      <c r="BA31" s="192" t="n">
        <v>0</v>
      </c>
      <c r="BB31" s="194" t="n">
        <v>1</v>
      </c>
      <c r="BC31" s="199" t="n">
        <v>0</v>
      </c>
      <c r="BD31" s="202" t="n">
        <v>0</v>
      </c>
      <c r="BE31" s="205" t="n">
        <v>0</v>
      </c>
      <c r="BF31" s="205" t="n">
        <v>0</v>
      </c>
      <c r="BG31" s="208" t="n">
        <v>0</v>
      </c>
      <c r="BH31" s="211" t="n">
        <v>0</v>
      </c>
      <c r="BI31" s="211" t="n">
        <v>0</v>
      </c>
      <c r="BJ31" s="211" t="n">
        <v>0</v>
      </c>
      <c r="BK31" s="210" t="n">
        <v>1</v>
      </c>
      <c r="BL31" s="211" t="n">
        <v>0</v>
      </c>
      <c r="BM31" s="211" t="n">
        <v>0</v>
      </c>
      <c r="BN31" s="215" t="n">
        <v>0</v>
      </c>
      <c r="BO31" s="215" t="n">
        <v>0</v>
      </c>
      <c r="BP31" s="215" t="n">
        <v>0</v>
      </c>
      <c r="BQ31" s="215" t="n">
        <v>0</v>
      </c>
    </row>
    <row r="32" ht="15.75" customHeight="1" thickBot="1">
      <c r="A32" s="60" t="inlineStr">
        <is>
          <t>https://open.spotify.com/playlist/4azT1XKUUo5ava9GxiCi4O</t>
        </is>
      </c>
      <c r="B32" s="43" t="inlineStr">
        <is>
          <t>BALANCE CHAKRAS WHILE SLEEPING ✨ HEALING FREQUENCIES 🕉️ AURA CLEANSING</t>
        </is>
      </c>
      <c r="C32" s="55" t="inlineStr">
        <is>
          <t>4azT1XKUUo5ava9GxiCi4O</t>
        </is>
      </c>
      <c r="D32" s="53" t="n">
        <v>78</v>
      </c>
      <c r="E32" s="50" t="n">
        <v>0</v>
      </c>
      <c r="F32" s="50" t="n">
        <v>1</v>
      </c>
      <c r="G32" s="48" t="n">
        <v>0</v>
      </c>
      <c r="H32" s="48" t="n">
        <v>0</v>
      </c>
      <c r="I32" s="71" t="n">
        <v>0</v>
      </c>
      <c r="J32" s="74" t="n">
        <v>0</v>
      </c>
      <c r="K32" s="77" t="n">
        <v>1</v>
      </c>
      <c r="L32" s="79" t="n">
        <v>1</v>
      </c>
      <c r="M32" s="83" t="n">
        <v>0</v>
      </c>
      <c r="N32" s="85" t="n">
        <v>2</v>
      </c>
      <c r="O32" s="90" t="n">
        <v>0</v>
      </c>
      <c r="P32" s="92" t="n">
        <v>1</v>
      </c>
      <c r="Q32" s="96" t="n">
        <v>0</v>
      </c>
      <c r="R32" s="99" t="n">
        <v>1</v>
      </c>
      <c r="S32" s="102" t="n">
        <v>0</v>
      </c>
      <c r="T32" s="105" t="n">
        <v>0</v>
      </c>
      <c r="U32" s="108" t="n">
        <v>0</v>
      </c>
      <c r="V32" s="110" t="n">
        <v>1</v>
      </c>
      <c r="W32" s="114" t="n">
        <v>0</v>
      </c>
      <c r="X32" s="117" t="n">
        <v>0</v>
      </c>
      <c r="Y32" s="120" t="n">
        <v>0</v>
      </c>
      <c r="Z32" s="121" t="n">
        <v>1</v>
      </c>
      <c r="AA32" s="126" t="n">
        <v>2</v>
      </c>
      <c r="AB32" s="130" t="n">
        <v>0</v>
      </c>
      <c r="AC32" s="132" t="n">
        <v>2</v>
      </c>
      <c r="AD32" s="135" t="n">
        <v>1</v>
      </c>
      <c r="AE32" s="138" t="n">
        <v>0</v>
      </c>
      <c r="AF32" s="142" t="n">
        <v>0</v>
      </c>
      <c r="AG32" s="144" t="n">
        <v>1</v>
      </c>
      <c r="AH32" s="147" t="n">
        <v>1</v>
      </c>
      <c r="AI32" s="150" t="n">
        <v>2</v>
      </c>
      <c r="AJ32" s="152" t="n">
        <v>1</v>
      </c>
      <c r="AK32" s="154" t="n">
        <v>0</v>
      </c>
      <c r="AL32" s="156" t="n">
        <v>0</v>
      </c>
      <c r="AM32" s="160" t="n">
        <v>0</v>
      </c>
      <c r="AN32" s="162" t="n">
        <v>1</v>
      </c>
      <c r="AO32" s="162" t="n">
        <v>1</v>
      </c>
      <c r="AP32" s="166" t="n">
        <v>0</v>
      </c>
      <c r="AQ32" s="168" t="n">
        <v>1</v>
      </c>
      <c r="AR32" s="172" t="n">
        <v>0</v>
      </c>
      <c r="AS32" s="175" t="n">
        <v>0</v>
      </c>
      <c r="AT32" s="178" t="n">
        <v>0</v>
      </c>
      <c r="AU32" s="178" t="n">
        <v>0</v>
      </c>
      <c r="AV32" s="181" t="n">
        <v>0</v>
      </c>
      <c r="AW32" s="184" t="n">
        <v>2</v>
      </c>
      <c r="AX32" s="183" t="n">
        <v>0</v>
      </c>
      <c r="AY32" s="187" t="n">
        <v>0</v>
      </c>
      <c r="AZ32" s="190" t="n">
        <v>2</v>
      </c>
      <c r="BA32" s="192" t="n">
        <v>0</v>
      </c>
      <c r="BB32" s="196" t="n">
        <v>0</v>
      </c>
      <c r="BC32" s="198" t="n">
        <v>1</v>
      </c>
      <c r="BD32" s="201" t="n">
        <v>1</v>
      </c>
      <c r="BE32" s="204" t="n">
        <v>1</v>
      </c>
      <c r="BF32" s="205" t="n">
        <v>0</v>
      </c>
      <c r="BG32" s="207" t="n">
        <v>2</v>
      </c>
      <c r="BH32" s="211" t="n">
        <v>0</v>
      </c>
      <c r="BI32" s="210" t="n">
        <v>1</v>
      </c>
      <c r="BJ32" s="211" t="n">
        <v>0</v>
      </c>
      <c r="BK32" s="211" t="n">
        <v>0</v>
      </c>
      <c r="BL32" s="211" t="n">
        <v>0</v>
      </c>
      <c r="BM32" s="211" t="n">
        <v>0</v>
      </c>
      <c r="BN32" s="215" t="n">
        <v>0</v>
      </c>
      <c r="BO32" s="215" t="n">
        <v>0</v>
      </c>
      <c r="BP32" s="215" t="n">
        <v>0</v>
      </c>
      <c r="BQ32" s="214" t="n">
        <v>1</v>
      </c>
    </row>
    <row r="33" ht="15.75" customHeight="1" thickBot="1">
      <c r="A33" s="60" t="inlineStr">
        <is>
          <t>https://open.spotify.com/playlist/0XCBGebzJtWCVjWgBq3SYW</t>
        </is>
      </c>
      <c r="B33" s="43" t="inlineStr">
        <is>
          <t>BANHO RELAXANTE 2026 🛁 MÚSICA SUAVE 🌿 RELAX TOTAL</t>
        </is>
      </c>
      <c r="C33" s="55" t="inlineStr">
        <is>
          <t>0XCBGebzJtWCVjWgBq3SYW</t>
        </is>
      </c>
      <c r="D33" s="53" t="n">
        <v>81</v>
      </c>
      <c r="E33" s="50" t="n">
        <v>1</v>
      </c>
      <c r="F33" s="50" t="n">
        <v>0</v>
      </c>
      <c r="G33" s="48" t="n">
        <v>0</v>
      </c>
      <c r="H33" s="48" t="n">
        <v>1</v>
      </c>
      <c r="I33" s="70" t="n">
        <v>1</v>
      </c>
      <c r="J33" s="73" t="n">
        <v>1</v>
      </c>
      <c r="K33" s="77" t="n">
        <v>1</v>
      </c>
      <c r="L33" s="79" t="n">
        <v>1</v>
      </c>
      <c r="M33" s="82" t="n">
        <v>1</v>
      </c>
      <c r="N33" s="86" t="n">
        <v>0</v>
      </c>
      <c r="O33" s="89" t="n">
        <v>1</v>
      </c>
      <c r="P33" s="93" t="n">
        <v>0</v>
      </c>
      <c r="Q33" s="96" t="n">
        <v>0</v>
      </c>
      <c r="R33" s="98" t="n">
        <v>0</v>
      </c>
      <c r="S33" s="102" t="n">
        <v>0</v>
      </c>
      <c r="T33" s="104" t="n">
        <v>1</v>
      </c>
      <c r="U33" s="107" t="n">
        <v>1</v>
      </c>
      <c r="V33" s="111" t="n">
        <v>0</v>
      </c>
      <c r="W33" s="113" t="n">
        <v>1</v>
      </c>
      <c r="X33" s="116" t="n">
        <v>3</v>
      </c>
      <c r="Y33" s="119" t="n">
        <v>2</v>
      </c>
      <c r="Z33" s="121" t="n">
        <v>2</v>
      </c>
      <c r="AA33" s="126" t="n">
        <v>1</v>
      </c>
      <c r="AB33" s="129" t="n">
        <v>2</v>
      </c>
      <c r="AC33" s="132" t="n">
        <v>2</v>
      </c>
      <c r="AD33" s="135" t="n">
        <v>1</v>
      </c>
      <c r="AE33" s="139" t="n">
        <v>1</v>
      </c>
      <c r="AF33" s="141" t="n">
        <v>2</v>
      </c>
      <c r="AG33" s="145" t="n">
        <v>0</v>
      </c>
      <c r="AH33" s="147" t="n">
        <v>2</v>
      </c>
      <c r="AI33" s="150" t="n">
        <v>2</v>
      </c>
      <c r="AJ33" s="154" t="n">
        <v>0</v>
      </c>
      <c r="AK33" s="154" t="n">
        <v>0</v>
      </c>
      <c r="AL33" s="156" t="n">
        <v>0</v>
      </c>
      <c r="AM33" s="160" t="n">
        <v>0</v>
      </c>
      <c r="AN33" s="163" t="n">
        <v>0</v>
      </c>
      <c r="AO33" s="163" t="n">
        <v>0</v>
      </c>
      <c r="AP33" s="166" t="n">
        <v>0</v>
      </c>
      <c r="AQ33" s="168" t="n">
        <v>2</v>
      </c>
      <c r="AR33" s="172" t="n">
        <v>-1</v>
      </c>
      <c r="AS33" s="174" t="n">
        <v>1</v>
      </c>
      <c r="AT33" s="177" t="n">
        <v>1</v>
      </c>
      <c r="AU33" s="177" t="n">
        <v>2</v>
      </c>
      <c r="AV33" s="180" t="n">
        <v>3</v>
      </c>
      <c r="AW33" s="183" t="n">
        <v>0</v>
      </c>
      <c r="AX33" s="183" t="n">
        <v>0</v>
      </c>
      <c r="AY33" s="187" t="n">
        <v>0</v>
      </c>
      <c r="AZ33" s="189" t="n">
        <v>0</v>
      </c>
      <c r="BA33" s="191" t="n">
        <v>2</v>
      </c>
      <c r="BB33" s="196" t="n">
        <v>0</v>
      </c>
      <c r="BC33" s="199" t="n">
        <v>0</v>
      </c>
      <c r="BD33" s="202" t="n">
        <v>0</v>
      </c>
      <c r="BE33" s="204" t="n">
        <v>2</v>
      </c>
      <c r="BF33" s="205" t="n">
        <v>0</v>
      </c>
      <c r="BG33" s="208" t="n">
        <v>0</v>
      </c>
      <c r="BH33" s="211" t="n">
        <v>0</v>
      </c>
      <c r="BI33" s="210" t="n">
        <v>1</v>
      </c>
      <c r="BJ33" s="211" t="n">
        <v>0</v>
      </c>
      <c r="BK33" s="211" t="n">
        <v>0</v>
      </c>
      <c r="BL33" s="211" t="n">
        <v>0</v>
      </c>
      <c r="BM33" s="211" t="n">
        <v>0</v>
      </c>
      <c r="BN33" s="215" t="n">
        <v>0</v>
      </c>
      <c r="BO33" s="215" t="n">
        <v>0</v>
      </c>
      <c r="BP33" s="215" t="n">
        <v>0</v>
      </c>
      <c r="BQ33" s="215" t="n">
        <v>0</v>
      </c>
    </row>
    <row r="34" ht="15.75" customHeight="1" thickBot="1">
      <c r="A34" s="60" t="inlineStr">
        <is>
          <t>https://open.spotify.com/playlist/3UUFb7YQTE4OVm6ZNPBpq4</t>
        </is>
      </c>
      <c r="B34" s="45" t="inlineStr">
        <is>
          <t>AGGRESSIVE BASS DROPS 140-150 BPM 2026 🔊 EDM FESTIVAL BANGERS</t>
        </is>
      </c>
      <c r="C34" s="57" t="inlineStr">
        <is>
          <t>3UUFb7YQTE4OVm6ZNPBpq4</t>
        </is>
      </c>
      <c r="D34" s="53" t="n">
        <v>60</v>
      </c>
      <c r="E34" s="50" t="n">
        <v>0</v>
      </c>
      <c r="F34" s="50" t="n">
        <v>0</v>
      </c>
      <c r="G34" s="48" t="n">
        <v>0</v>
      </c>
      <c r="H34" s="48" t="n">
        <v>0</v>
      </c>
      <c r="I34" s="70" t="n">
        <v>1</v>
      </c>
      <c r="J34" s="74" t="n">
        <v>0</v>
      </c>
      <c r="K34" s="76" t="n">
        <v>0</v>
      </c>
      <c r="L34" s="80" t="n">
        <v>0</v>
      </c>
      <c r="M34" s="82" t="n">
        <v>1</v>
      </c>
      <c r="N34" s="86" t="n">
        <v>0</v>
      </c>
      <c r="O34" s="90" t="n">
        <v>0</v>
      </c>
      <c r="P34" s="92" t="n">
        <v>2</v>
      </c>
      <c r="Q34" s="95" t="n">
        <v>1</v>
      </c>
      <c r="R34" s="99" t="n">
        <v>1</v>
      </c>
      <c r="S34" s="101" t="n">
        <v>1</v>
      </c>
      <c r="T34" s="105" t="n">
        <v>0</v>
      </c>
      <c r="U34" s="20" t="n">
        <v>1</v>
      </c>
      <c r="V34" s="111" t="n">
        <v>0</v>
      </c>
      <c r="W34" s="113" t="n">
        <v>1</v>
      </c>
      <c r="X34" s="116" t="n">
        <v>1</v>
      </c>
      <c r="Y34" s="119" t="n">
        <v>2</v>
      </c>
      <c r="Z34" s="121" t="n">
        <v>2</v>
      </c>
      <c r="AA34" s="127" t="n">
        <v>0</v>
      </c>
      <c r="AB34" s="129" t="n">
        <v>1</v>
      </c>
      <c r="AC34" s="133" t="n">
        <v>0</v>
      </c>
      <c r="AD34" s="135" t="n">
        <v>2</v>
      </c>
      <c r="AE34" s="138" t="n">
        <v>0</v>
      </c>
      <c r="AF34" s="142" t="n">
        <v>0</v>
      </c>
      <c r="AG34" s="144" t="n">
        <v>1</v>
      </c>
      <c r="AH34" s="148" t="n">
        <v>0</v>
      </c>
      <c r="AI34" s="151" t="n">
        <v>0</v>
      </c>
      <c r="AJ34" s="154" t="n">
        <v>0</v>
      </c>
      <c r="AK34" s="154" t="n">
        <v>0</v>
      </c>
      <c r="AL34" s="156" t="n">
        <v>-1</v>
      </c>
      <c r="AM34" s="160" t="n">
        <v>0</v>
      </c>
      <c r="AN34" s="162" t="n">
        <v>1</v>
      </c>
      <c r="AO34" s="162" t="n">
        <v>0</v>
      </c>
      <c r="AP34" s="165" t="n">
        <v>1</v>
      </c>
      <c r="AQ34" s="168" t="n">
        <v>1</v>
      </c>
      <c r="AR34" s="171" t="n">
        <v>1</v>
      </c>
      <c r="AS34" s="175" t="n">
        <v>0</v>
      </c>
      <c r="AU34" s="177" t="n">
        <v>1</v>
      </c>
      <c r="AV34" s="180" t="n">
        <v>1</v>
      </c>
      <c r="AW34" s="183" t="n">
        <v>0</v>
      </c>
      <c r="AX34" s="184" t="n">
        <v>1</v>
      </c>
      <c r="AY34" s="187" t="n">
        <v>0</v>
      </c>
      <c r="AZ34" s="190" t="n">
        <v>1</v>
      </c>
      <c r="BA34" s="192" t="n">
        <v>0</v>
      </c>
      <c r="BB34" s="194" t="n">
        <v>1</v>
      </c>
      <c r="BC34" s="199" t="n">
        <v>0</v>
      </c>
      <c r="BD34" s="202" t="n">
        <v>0</v>
      </c>
      <c r="BE34" s="205" t="n">
        <v>0</v>
      </c>
      <c r="BF34" s="205" t="n">
        <v>0</v>
      </c>
      <c r="BG34" s="208" t="n">
        <v>0</v>
      </c>
      <c r="BH34" s="210" t="n">
        <v>1</v>
      </c>
      <c r="BI34" s="211" t="n">
        <v>0</v>
      </c>
      <c r="BJ34" s="211" t="n">
        <v>0</v>
      </c>
      <c r="BK34" s="210" t="n">
        <v>1</v>
      </c>
      <c r="BL34" s="211" t="n">
        <v>0</v>
      </c>
      <c r="BM34" s="211" t="n">
        <v>0</v>
      </c>
      <c r="BN34" s="215" t="n">
        <v>0</v>
      </c>
      <c r="BO34" s="214" t="n">
        <v>1</v>
      </c>
      <c r="BP34" s="215" t="n">
        <v>0</v>
      </c>
      <c r="BQ34" s="215" t="n">
        <v>0</v>
      </c>
    </row>
    <row r="35" ht="15.75" customHeight="1" thickBot="1">
      <c r="A35" s="59" t="inlineStr">
        <is>
          <t>https://open.spotify.com/playlist/6fhjox82LDujbjYiqJVq33</t>
        </is>
      </c>
      <c r="B35" s="43" t="inlineStr">
        <is>
          <t>CAR ENGINE SOUNDS 2026 🚗 VROOM VROOM ⚡ HIGH-SPEED TRACKS</t>
        </is>
      </c>
      <c r="C35" s="55" t="inlineStr">
        <is>
          <t>6fhjox82LDujbjYiqJVq33</t>
        </is>
      </c>
      <c r="D35" s="53" t="n">
        <v>110</v>
      </c>
      <c r="E35" s="50" t="n">
        <v>0</v>
      </c>
      <c r="F35" s="50" t="n">
        <v>1</v>
      </c>
      <c r="G35" s="48" t="n">
        <v>2</v>
      </c>
      <c r="H35" s="48" t="n">
        <v>0</v>
      </c>
      <c r="I35" s="71" t="n">
        <v>0</v>
      </c>
      <c r="J35" s="73" t="n">
        <v>1</v>
      </c>
      <c r="K35" s="77" t="n">
        <v>2</v>
      </c>
      <c r="L35" s="79" t="n">
        <v>1</v>
      </c>
      <c r="M35" s="83" t="n">
        <v>0</v>
      </c>
      <c r="N35" s="84" t="n">
        <v>5</v>
      </c>
      <c r="O35" s="89" t="n">
        <v>1</v>
      </c>
      <c r="P35" s="93" t="n">
        <v>0</v>
      </c>
      <c r="Q35" s="95" t="n">
        <v>2</v>
      </c>
      <c r="R35" s="99" t="n">
        <v>1</v>
      </c>
      <c r="S35" s="101" t="n">
        <v>1</v>
      </c>
      <c r="T35" s="104" t="n">
        <v>1</v>
      </c>
      <c r="U35" s="71" t="n">
        <v>0</v>
      </c>
      <c r="V35" s="110" t="n">
        <v>1</v>
      </c>
      <c r="W35" s="113" t="n">
        <v>2</v>
      </c>
      <c r="X35" s="115" t="n">
        <v>4</v>
      </c>
      <c r="Y35" s="119" t="n">
        <v>1</v>
      </c>
      <c r="Z35" s="121" t="n">
        <v>2</v>
      </c>
      <c r="AA35" s="127" t="n">
        <v>-1</v>
      </c>
      <c r="AB35" s="129" t="n">
        <v>3</v>
      </c>
      <c r="AC35" s="132" t="n">
        <v>1</v>
      </c>
      <c r="AD35" s="135" t="n">
        <v>2</v>
      </c>
      <c r="AE35" s="139" t="n">
        <v>1</v>
      </c>
      <c r="AF35" s="140" t="n">
        <v>4</v>
      </c>
      <c r="AG35" s="145" t="n">
        <v>0</v>
      </c>
      <c r="AH35" s="148" t="n">
        <v>0</v>
      </c>
      <c r="AI35" s="151" t="n">
        <v>0</v>
      </c>
      <c r="AJ35" s="154" t="n">
        <v>0</v>
      </c>
      <c r="AK35" s="154" t="n">
        <v>0</v>
      </c>
      <c r="AL35" s="157" t="n">
        <v>1</v>
      </c>
      <c r="AM35" s="159" t="n">
        <v>2</v>
      </c>
      <c r="AN35" s="163" t="n">
        <v>0</v>
      </c>
      <c r="AO35" s="163" t="n">
        <v>0</v>
      </c>
      <c r="AP35" s="165" t="n">
        <v>2</v>
      </c>
      <c r="AQ35" s="169" t="n">
        <v>0</v>
      </c>
      <c r="AR35" s="171" t="n">
        <v>2</v>
      </c>
      <c r="AS35" s="175" t="n">
        <v>0</v>
      </c>
      <c r="AT35" s="178" t="n">
        <v>-1</v>
      </c>
      <c r="AU35" s="176" t="n">
        <v>5</v>
      </c>
      <c r="AV35" s="180" t="n">
        <v>1</v>
      </c>
      <c r="AW35" s="184" t="n">
        <v>1</v>
      </c>
      <c r="AX35" s="184" t="n">
        <v>3</v>
      </c>
      <c r="AY35" s="187" t="n">
        <v>0</v>
      </c>
      <c r="AZ35" s="189" t="n">
        <v>0</v>
      </c>
      <c r="BA35" s="191" t="n">
        <v>1</v>
      </c>
      <c r="BB35" s="194" t="n">
        <v>1</v>
      </c>
      <c r="BC35" s="198" t="n">
        <v>2</v>
      </c>
      <c r="BD35" s="202" t="n">
        <v>0</v>
      </c>
      <c r="BE35" s="204" t="n">
        <v>1</v>
      </c>
      <c r="BF35" s="205" t="n">
        <v>0</v>
      </c>
      <c r="BG35" s="207" t="n">
        <v>2</v>
      </c>
      <c r="BH35" s="211" t="n">
        <v>0</v>
      </c>
      <c r="BI35" s="210" t="n">
        <v>3</v>
      </c>
      <c r="BJ35" s="210" t="n">
        <v>1</v>
      </c>
      <c r="BK35" s="211" t="n">
        <v>0</v>
      </c>
      <c r="BL35" s="210" t="n">
        <v>1</v>
      </c>
      <c r="BM35" s="210" t="n">
        <v>1</v>
      </c>
      <c r="BN35" s="214" t="n">
        <v>1</v>
      </c>
      <c r="BO35" s="215" t="n">
        <v>0</v>
      </c>
      <c r="BP35" s="214" t="n">
        <v>1</v>
      </c>
      <c r="BQ35" s="214" t="n">
        <v>2</v>
      </c>
    </row>
    <row r="36" ht="15.75" customHeight="1" thickBot="1">
      <c r="A36" s="59" t="inlineStr">
        <is>
          <t>https://open.spotify.com/playlist/2O6XeXNWLeX5l883AbWnsj</t>
        </is>
      </c>
      <c r="B36" s="45" t="inlineStr">
        <is>
          <t>COOL DOWN POST-WORKOUT Recovery &amp; Relaxed Energy 🌙✨</t>
        </is>
      </c>
      <c r="C36" s="57" t="inlineStr">
        <is>
          <t>2O6XeXNWLeX5l883AbWnsj</t>
        </is>
      </c>
      <c r="D36" s="54" t="n">
        <v>32</v>
      </c>
      <c r="E36" s="51" t="n">
        <v>0</v>
      </c>
      <c r="F36" s="51" t="n">
        <v>0</v>
      </c>
      <c r="G36" s="49" t="n">
        <v>0</v>
      </c>
      <c r="H36" s="49" t="n">
        <v>0</v>
      </c>
      <c r="I36" s="71" t="n">
        <v>0</v>
      </c>
      <c r="J36" s="73" t="n">
        <v>1</v>
      </c>
      <c r="K36" s="76" t="n">
        <v>0</v>
      </c>
      <c r="L36" s="79" t="n">
        <v>1</v>
      </c>
      <c r="M36" s="83" t="n">
        <v>0</v>
      </c>
      <c r="N36" s="85" t="n">
        <v>1</v>
      </c>
      <c r="O36" s="89" t="n">
        <v>1</v>
      </c>
      <c r="P36" s="92" t="n">
        <v>2</v>
      </c>
      <c r="Q36" s="95" t="n">
        <v>1</v>
      </c>
      <c r="R36" s="98" t="n">
        <v>0</v>
      </c>
      <c r="S36" s="102" t="n">
        <v>0</v>
      </c>
      <c r="T36" s="104" t="n">
        <v>1</v>
      </c>
      <c r="U36" s="107" t="n">
        <v>1</v>
      </c>
      <c r="V36" s="110" t="n">
        <v>1</v>
      </c>
      <c r="W36" s="114" t="n">
        <v>0</v>
      </c>
      <c r="X36" s="116" t="n">
        <v>1</v>
      </c>
      <c r="Y36" s="120" t="n">
        <v>0</v>
      </c>
      <c r="Z36" s="121" t="n">
        <v>1</v>
      </c>
      <c r="AA36" s="127" t="n">
        <v>-1</v>
      </c>
      <c r="AB36" s="129" t="n">
        <v>1</v>
      </c>
      <c r="AC36" s="133" t="n">
        <v>0</v>
      </c>
      <c r="AD36" s="136" t="n">
        <v>0</v>
      </c>
      <c r="AE36" s="138" t="n">
        <v>0</v>
      </c>
      <c r="AF36" s="142" t="n">
        <v>0</v>
      </c>
      <c r="AG36" s="144" t="n">
        <v>1</v>
      </c>
      <c r="AH36" s="148" t="n">
        <v>0</v>
      </c>
      <c r="AI36" s="151" t="n">
        <v>0</v>
      </c>
      <c r="AJ36" s="154" t="n">
        <v>0</v>
      </c>
      <c r="AK36" s="154" t="n">
        <v>0</v>
      </c>
      <c r="AL36" s="156" t="n">
        <v>0</v>
      </c>
      <c r="AM36" s="160" t="n">
        <v>0</v>
      </c>
      <c r="AN36" s="163" t="n">
        <v>0</v>
      </c>
      <c r="AO36" s="163" t="n">
        <v>0</v>
      </c>
      <c r="AP36" s="166" t="n">
        <v>0</v>
      </c>
      <c r="AQ36" s="168" t="n">
        <v>1</v>
      </c>
      <c r="AR36" s="172" t="n">
        <v>0</v>
      </c>
      <c r="AS36" s="175" t="n">
        <v>0</v>
      </c>
      <c r="AT36" s="178" t="n">
        <v>0</v>
      </c>
      <c r="AU36" s="178" t="n">
        <v>0</v>
      </c>
      <c r="AV36" s="181" t="n">
        <v>0</v>
      </c>
      <c r="AW36" s="183" t="n">
        <v>0</v>
      </c>
      <c r="AX36" s="183" t="n">
        <v>0</v>
      </c>
      <c r="AY36" s="187" t="n">
        <v>0</v>
      </c>
      <c r="AZ36" s="189" t="n">
        <v>0</v>
      </c>
      <c r="BA36" s="192" t="n">
        <v>0</v>
      </c>
      <c r="BB36" s="196" t="n">
        <v>0</v>
      </c>
      <c r="BC36" s="199" t="n">
        <v>0</v>
      </c>
      <c r="BD36" s="202" t="n">
        <v>0</v>
      </c>
      <c r="BE36" s="205" t="n">
        <v>0</v>
      </c>
      <c r="BF36" s="205" t="n">
        <v>0</v>
      </c>
      <c r="BG36" s="207" t="n">
        <v>2</v>
      </c>
      <c r="BH36" s="211" t="n">
        <v>0</v>
      </c>
      <c r="BI36" s="211" t="n">
        <v>0</v>
      </c>
      <c r="BJ36" s="211" t="n">
        <v>0</v>
      </c>
      <c r="BK36" s="210" t="n">
        <v>1</v>
      </c>
      <c r="BL36" s="211" t="n">
        <v>0</v>
      </c>
      <c r="BM36" s="211" t="n">
        <v>0</v>
      </c>
      <c r="BN36" s="215" t="n">
        <v>0</v>
      </c>
      <c r="BO36" s="215" t="n">
        <v>0</v>
      </c>
      <c r="BP36" s="215" t="n">
        <v>0</v>
      </c>
      <c r="BQ36" s="215" t="n">
        <v>0</v>
      </c>
    </row>
    <row r="37" ht="15.75" customHeight="1" thickBot="1">
      <c r="A37" s="59" t="inlineStr">
        <is>
          <t>https://open.spotify.com/playlist/375Yy8vx7Gxy4HQyue0Nv7</t>
        </is>
      </c>
      <c r="B37" s="43" t="inlineStr">
        <is>
          <t>DEEP SLEEP FREQUENCIES 9 CHAKRAS 🌙 ENERGY HEALING 🕉️ CALM REST</t>
        </is>
      </c>
      <c r="C37" s="55" t="inlineStr">
        <is>
          <t>375Yy8vx7Gxy4HQyue0Nv7</t>
        </is>
      </c>
      <c r="D37" s="53" t="n">
        <v>88</v>
      </c>
      <c r="E37" s="50" t="n">
        <v>0</v>
      </c>
      <c r="F37" s="50" t="n">
        <v>1</v>
      </c>
      <c r="G37" s="48" t="n">
        <v>0</v>
      </c>
      <c r="H37" s="48" t="n">
        <v>0</v>
      </c>
      <c r="I37" s="70" t="n">
        <v>1</v>
      </c>
      <c r="J37" s="74" t="n">
        <v>0</v>
      </c>
      <c r="K37" s="77" t="n">
        <v>3</v>
      </c>
      <c r="L37" s="79" t="n">
        <v>1</v>
      </c>
      <c r="M37" s="82" t="n">
        <v>3</v>
      </c>
      <c r="N37" s="85" t="n">
        <v>2</v>
      </c>
      <c r="O37" s="89" t="n">
        <v>2</v>
      </c>
      <c r="P37" s="93" t="n">
        <v>0</v>
      </c>
      <c r="Q37" s="96" t="n">
        <v>0</v>
      </c>
      <c r="R37" s="99" t="n">
        <v>1</v>
      </c>
      <c r="S37" s="102" t="n">
        <v>0</v>
      </c>
      <c r="T37" s="105" t="n">
        <v>0</v>
      </c>
      <c r="U37" s="108" t="n">
        <v>0</v>
      </c>
      <c r="V37" s="110" t="n">
        <v>1</v>
      </c>
      <c r="W37" s="114" t="n">
        <v>0</v>
      </c>
      <c r="X37" s="117" t="n">
        <v>0</v>
      </c>
      <c r="Y37" s="119" t="n">
        <v>3</v>
      </c>
      <c r="Z37" s="121" t="n">
        <v>2</v>
      </c>
      <c r="AA37" s="126" t="n">
        <v>1</v>
      </c>
      <c r="AB37" s="129" t="n">
        <v>1</v>
      </c>
      <c r="AC37" s="133" t="n">
        <v>0</v>
      </c>
      <c r="AD37" s="135" t="n">
        <v>2</v>
      </c>
      <c r="AE37" s="138" t="n">
        <v>0</v>
      </c>
      <c r="AF37" s="141" t="n">
        <v>1</v>
      </c>
      <c r="AG37" s="145" t="n">
        <v>0</v>
      </c>
      <c r="AH37" s="147" t="n">
        <v>1</v>
      </c>
      <c r="AI37" s="150" t="n">
        <v>1</v>
      </c>
      <c r="AJ37" s="154" t="n">
        <v>0</v>
      </c>
      <c r="AK37" s="154" t="n">
        <v>0</v>
      </c>
      <c r="AL37" s="156" t="n">
        <v>0</v>
      </c>
      <c r="AM37" s="160" t="n">
        <v>0</v>
      </c>
      <c r="AN37" s="163" t="n">
        <v>0</v>
      </c>
      <c r="AO37" s="163" t="n">
        <v>0</v>
      </c>
      <c r="AP37" s="165" t="n">
        <v>1</v>
      </c>
      <c r="AQ37" s="169" t="n">
        <v>0</v>
      </c>
      <c r="AR37" s="171" t="n">
        <v>1</v>
      </c>
      <c r="AS37" s="174" t="n">
        <v>1</v>
      </c>
      <c r="AT37" s="178" t="n">
        <v>0</v>
      </c>
      <c r="AU37" s="177" t="n">
        <v>1</v>
      </c>
      <c r="AV37" s="181" t="n">
        <v>0</v>
      </c>
      <c r="AW37" s="184" t="n">
        <v>1</v>
      </c>
      <c r="AX37" s="184" t="n">
        <v>1</v>
      </c>
      <c r="AY37" s="187" t="n">
        <v>0</v>
      </c>
      <c r="AZ37" s="189" t="n">
        <v>0</v>
      </c>
      <c r="BA37" s="192" t="n">
        <v>0</v>
      </c>
      <c r="BB37" s="194" t="n">
        <v>2</v>
      </c>
      <c r="BC37" s="199" t="n">
        <v>0</v>
      </c>
      <c r="BD37" s="202" t="n">
        <v>0</v>
      </c>
      <c r="BE37" s="205" t="n">
        <v>0</v>
      </c>
      <c r="BF37" s="205" t="n">
        <v>0</v>
      </c>
      <c r="BG37" s="207" t="n">
        <v>2</v>
      </c>
      <c r="BH37" s="210" t="n">
        <v>1</v>
      </c>
      <c r="BI37" s="211" t="n">
        <v>0</v>
      </c>
      <c r="BJ37" s="211" t="n">
        <v>0</v>
      </c>
      <c r="BK37" s="211" t="n">
        <v>0</v>
      </c>
      <c r="BL37" s="211" t="n">
        <v>0</v>
      </c>
      <c r="BM37" s="211" t="n">
        <v>0</v>
      </c>
      <c r="BN37" s="215" t="n">
        <v>0</v>
      </c>
      <c r="BO37" s="214" t="n">
        <v>1</v>
      </c>
      <c r="BP37" s="215" t="n">
        <v>-1</v>
      </c>
      <c r="BQ37" s="215" t="n">
        <v>0</v>
      </c>
    </row>
    <row r="38" ht="15.75" customHeight="1" thickBot="1">
      <c r="A38" s="59" t="inlineStr">
        <is>
          <t>https://open.spotify.com/playlist/6Fzx9aQahLqi9QC39Y50Gg</t>
        </is>
      </c>
      <c r="B38" s="45" t="inlineStr">
        <is>
          <t>PEACEFUL JAPANESE SLEEP MUSIC 😴 KOTO LULLABIES | SERENE VIBES</t>
        </is>
      </c>
      <c r="C38" s="57" t="inlineStr">
        <is>
          <t>6Fzx9aQahLqi9QC39Y50Gg</t>
        </is>
      </c>
      <c r="D38" s="53" t="n">
        <v>97</v>
      </c>
      <c r="E38" s="50" t="n">
        <v>0</v>
      </c>
      <c r="F38" s="50" t="n">
        <v>1</v>
      </c>
      <c r="G38" s="48" t="n">
        <v>0</v>
      </c>
      <c r="H38" s="48" t="n">
        <v>0</v>
      </c>
      <c r="I38" s="71" t="n">
        <v>0</v>
      </c>
      <c r="J38" s="73" t="n">
        <v>2</v>
      </c>
      <c r="K38" s="76" t="n">
        <v>0</v>
      </c>
      <c r="L38" s="79" t="n">
        <v>2</v>
      </c>
      <c r="M38" s="81" t="n">
        <v>5</v>
      </c>
      <c r="N38" s="85" t="n">
        <v>1</v>
      </c>
      <c r="O38" s="89" t="n">
        <v>1</v>
      </c>
      <c r="P38" s="92" t="n">
        <v>1</v>
      </c>
      <c r="Q38" s="95" t="n">
        <v>2</v>
      </c>
      <c r="R38" s="98" t="n">
        <v>0</v>
      </c>
      <c r="S38" s="101" t="n">
        <v>1</v>
      </c>
      <c r="T38" s="104" t="n">
        <v>2</v>
      </c>
      <c r="U38" s="107" t="n">
        <v>1</v>
      </c>
      <c r="V38" s="109" t="n">
        <v>4</v>
      </c>
      <c r="W38" s="114" t="n">
        <v>0</v>
      </c>
      <c r="X38" s="116" t="n">
        <v>1</v>
      </c>
      <c r="Y38" s="120" t="n">
        <v>-1</v>
      </c>
      <c r="Z38" s="123" t="n">
        <v>0</v>
      </c>
      <c r="AA38" s="126" t="n">
        <v>2</v>
      </c>
      <c r="AB38" s="129" t="n">
        <v>1</v>
      </c>
      <c r="AC38" s="133" t="n">
        <v>0</v>
      </c>
      <c r="AD38" s="136" t="n">
        <v>0</v>
      </c>
      <c r="AE38" s="138" t="n">
        <v>0</v>
      </c>
      <c r="AF38" s="141" t="n">
        <v>2</v>
      </c>
      <c r="AG38" s="145" t="n">
        <v>0</v>
      </c>
      <c r="AH38" s="148" t="n">
        <v>0</v>
      </c>
      <c r="AI38" s="150" t="n">
        <v>1</v>
      </c>
      <c r="AJ38" s="152" t="n">
        <v>1</v>
      </c>
      <c r="AK38" s="152" t="n">
        <v>3</v>
      </c>
      <c r="AL38" s="157" t="n">
        <v>1</v>
      </c>
      <c r="AM38" s="160" t="n">
        <v>0</v>
      </c>
      <c r="AN38" s="161" t="n">
        <v>2</v>
      </c>
      <c r="AO38" s="161" t="n">
        <v>2</v>
      </c>
      <c r="AP38" s="166" t="n">
        <v>0</v>
      </c>
      <c r="AQ38" s="167" t="n">
        <v>5</v>
      </c>
      <c r="AR38" s="171" t="n">
        <v>1</v>
      </c>
      <c r="AS38" s="174" t="n">
        <v>1</v>
      </c>
      <c r="AT38" s="178" t="n">
        <v>0</v>
      </c>
      <c r="AU38" s="177" t="n">
        <v>1</v>
      </c>
      <c r="AV38" s="179" t="n">
        <v>4</v>
      </c>
      <c r="AW38" s="184" t="n">
        <v>1</v>
      </c>
      <c r="AX38" s="184" t="n">
        <v>3</v>
      </c>
      <c r="AY38" s="186" t="n">
        <v>2</v>
      </c>
      <c r="AZ38" s="190" t="n">
        <v>1</v>
      </c>
      <c r="BA38" s="192" t="n">
        <v>0</v>
      </c>
      <c r="BB38" s="196" t="n">
        <v>0</v>
      </c>
      <c r="BC38" s="199" t="n">
        <v>0</v>
      </c>
      <c r="BD38" s="202" t="n">
        <v>0</v>
      </c>
      <c r="BE38" s="205" t="n">
        <v>0</v>
      </c>
      <c r="BF38" s="204" t="n">
        <v>1</v>
      </c>
      <c r="BG38" s="208" t="n">
        <v>0</v>
      </c>
      <c r="BH38" s="210" t="n">
        <v>1</v>
      </c>
      <c r="BI38" s="209" t="n">
        <v>5</v>
      </c>
      <c r="BJ38" s="211" t="n">
        <v>0</v>
      </c>
      <c r="BK38" s="210" t="n">
        <v>1</v>
      </c>
      <c r="BL38" s="210" t="n">
        <v>1</v>
      </c>
      <c r="BM38" s="210" t="n">
        <v>1</v>
      </c>
      <c r="BN38" s="215" t="n">
        <v>0</v>
      </c>
      <c r="BO38" s="214" t="n">
        <v>1</v>
      </c>
      <c r="BP38" s="214" t="n">
        <v>1</v>
      </c>
      <c r="BQ38" s="214" t="n">
        <v>1</v>
      </c>
    </row>
    <row r="39" ht="15.75" customHeight="1" thickBot="1">
      <c r="A39" s="59" t="inlineStr">
        <is>
          <t>https://open.spotify.com/playlist/2sRfIPSTBLZoaa1IHwTCTm</t>
        </is>
      </c>
      <c r="B39" s="43" t="inlineStr">
        <is>
          <t>MÚSICA ÉPICA 2026 🐉 ORQUESTAL ⚔️ BATALLAS HEROICAS</t>
        </is>
      </c>
      <c r="C39" s="55" t="inlineStr">
        <is>
          <t>2sRfIPSTBLZoaa1IHwTCTm</t>
        </is>
      </c>
      <c r="D39" s="53" t="n">
        <v>91</v>
      </c>
      <c r="E39" s="50" t="n">
        <v>1</v>
      </c>
      <c r="F39" s="50" t="n">
        <v>2</v>
      </c>
      <c r="G39" s="48" t="n">
        <v>0</v>
      </c>
      <c r="H39" s="48" t="n">
        <v>1</v>
      </c>
      <c r="I39" s="71" t="n">
        <v>0</v>
      </c>
      <c r="J39" s="73" t="n">
        <v>1</v>
      </c>
      <c r="K39" s="77" t="n">
        <v>1</v>
      </c>
      <c r="L39" s="79" t="n">
        <v>1</v>
      </c>
      <c r="M39" s="83" t="n">
        <v>0</v>
      </c>
      <c r="N39" s="85" t="n">
        <v>2</v>
      </c>
      <c r="O39" s="89" t="n">
        <v>3</v>
      </c>
      <c r="P39" s="93" t="n">
        <v>0</v>
      </c>
      <c r="Q39" s="95" t="n">
        <v>1</v>
      </c>
      <c r="R39" s="99" t="n">
        <v>2</v>
      </c>
      <c r="S39" s="102" t="n">
        <v>0</v>
      </c>
      <c r="T39" s="104" t="n">
        <v>1</v>
      </c>
      <c r="U39" s="107" t="n">
        <v>2</v>
      </c>
      <c r="V39" s="111" t="n">
        <v>0</v>
      </c>
      <c r="W39" s="114" t="n">
        <v>0</v>
      </c>
      <c r="X39" s="117" t="n">
        <v>0</v>
      </c>
      <c r="Y39" s="120" t="n">
        <v>0</v>
      </c>
      <c r="Z39" s="123" t="n">
        <v>0</v>
      </c>
      <c r="AA39" s="126" t="n">
        <v>2</v>
      </c>
      <c r="AB39" s="129" t="n">
        <v>2</v>
      </c>
      <c r="AC39" s="132" t="n">
        <v>1</v>
      </c>
      <c r="AD39" s="135" t="n">
        <v>1</v>
      </c>
      <c r="AE39" s="138" t="n">
        <v>0</v>
      </c>
      <c r="AF39" s="141" t="n">
        <v>2</v>
      </c>
      <c r="AG39" s="145" t="n">
        <v>0</v>
      </c>
      <c r="AH39" s="147" t="n">
        <v>1</v>
      </c>
      <c r="AI39" s="150" t="n">
        <v>3</v>
      </c>
      <c r="AJ39" s="152" t="n">
        <v>2</v>
      </c>
      <c r="AK39" s="154" t="n">
        <v>0</v>
      </c>
      <c r="AL39" s="156" t="n">
        <v>0</v>
      </c>
      <c r="AM39" s="160" t="n">
        <v>0</v>
      </c>
      <c r="AN39" s="163" t="n">
        <v>0</v>
      </c>
      <c r="AO39" s="163" t="n">
        <v>0</v>
      </c>
      <c r="AP39" s="165" t="n">
        <v>1</v>
      </c>
      <c r="AQ39" s="168" t="n">
        <v>1</v>
      </c>
      <c r="AR39" s="171" t="n">
        <v>1</v>
      </c>
      <c r="AS39" s="174" t="n">
        <v>3</v>
      </c>
      <c r="AT39" s="177" t="n">
        <v>1</v>
      </c>
      <c r="AU39" s="177" t="n">
        <v>2</v>
      </c>
      <c r="AV39" s="180" t="n">
        <v>1</v>
      </c>
      <c r="AW39" s="183" t="n">
        <v>0</v>
      </c>
      <c r="AX39" s="183" t="n">
        <v>0</v>
      </c>
      <c r="AY39" s="186" t="n">
        <v>2</v>
      </c>
      <c r="AZ39" s="189" t="n">
        <v>0</v>
      </c>
      <c r="BA39" s="192" t="n">
        <v>0</v>
      </c>
      <c r="BB39" s="196" t="n">
        <v>0</v>
      </c>
      <c r="BC39" s="198" t="n">
        <v>1</v>
      </c>
      <c r="BD39" s="202" t="n">
        <v>-1</v>
      </c>
      <c r="BE39" s="205" t="n">
        <v>0</v>
      </c>
      <c r="BF39" s="204" t="n">
        <v>2</v>
      </c>
      <c r="BG39" s="207" t="n">
        <v>1</v>
      </c>
      <c r="BH39" s="210" t="n">
        <v>1</v>
      </c>
      <c r="BI39" s="210" t="n">
        <v>3</v>
      </c>
      <c r="BJ39" s="210" t="n">
        <v>1</v>
      </c>
      <c r="BK39" s="211" t="n">
        <v>-1</v>
      </c>
      <c r="BL39" s="211" t="n">
        <v>0</v>
      </c>
      <c r="BM39" s="210" t="n">
        <v>1</v>
      </c>
      <c r="BN39" s="214" t="n">
        <v>1</v>
      </c>
      <c r="BO39" s="215" t="n">
        <v>0</v>
      </c>
      <c r="BP39" s="214" t="n">
        <v>2</v>
      </c>
      <c r="BQ39" s="214" t="n">
        <v>3</v>
      </c>
    </row>
    <row r="40" ht="15.75" customHeight="1" thickBot="1">
      <c r="A40" s="59" t="inlineStr">
        <is>
          <t>https://open.spotify.com/playlist/0Af9A0s9Cfi8jeJsEYdOuN</t>
        </is>
      </c>
      <c r="B40" s="45" t="inlineStr">
        <is>
          <t>ANGELIC Cover Songs ✨ | Soft Versions of Popular Hits</t>
        </is>
      </c>
      <c r="C40" s="55" t="inlineStr">
        <is>
          <t>0Af9A0s9Cfi8jeJsEYdOuN</t>
        </is>
      </c>
      <c r="D40" s="53" t="n">
        <v>31</v>
      </c>
      <c r="E40" s="50" t="n">
        <v>0</v>
      </c>
      <c r="F40" s="50" t="n">
        <v>0</v>
      </c>
      <c r="G40" s="48" t="n">
        <v>-1</v>
      </c>
      <c r="H40" s="48" t="n">
        <v>0</v>
      </c>
      <c r="I40" s="71" t="n">
        <v>0</v>
      </c>
      <c r="J40" s="74" t="n">
        <v>0</v>
      </c>
      <c r="K40" s="76" t="n">
        <v>0</v>
      </c>
      <c r="L40" s="80" t="n">
        <v>0</v>
      </c>
      <c r="M40" s="83" t="n">
        <v>-1</v>
      </c>
      <c r="N40" s="85" t="n">
        <v>1</v>
      </c>
      <c r="O40" s="89" t="n">
        <v>1</v>
      </c>
      <c r="P40" s="92" t="n">
        <v>1</v>
      </c>
      <c r="Q40" s="96" t="n">
        <v>-1</v>
      </c>
      <c r="R40" s="98" t="n">
        <v>0</v>
      </c>
      <c r="S40" s="102" t="n">
        <v>-1</v>
      </c>
      <c r="T40" s="104" t="n">
        <v>2</v>
      </c>
      <c r="U40" s="107" t="n">
        <v>1</v>
      </c>
      <c r="V40" s="111" t="n">
        <v>0</v>
      </c>
      <c r="W40" s="114" t="n">
        <v>0</v>
      </c>
      <c r="X40" s="117" t="n">
        <v>0</v>
      </c>
      <c r="Y40" s="120" t="n">
        <v>0</v>
      </c>
      <c r="Z40" s="121" t="n">
        <v>1</v>
      </c>
      <c r="AA40" s="127" t="n">
        <v>0</v>
      </c>
      <c r="AB40" s="129" t="n">
        <v>1</v>
      </c>
      <c r="AC40" s="133" t="n">
        <v>0</v>
      </c>
      <c r="AD40" s="136" t="n">
        <v>0</v>
      </c>
      <c r="AE40" s="138" t="n">
        <v>0</v>
      </c>
      <c r="AF40" s="142" t="n">
        <v>0</v>
      </c>
      <c r="AG40" s="144" t="n">
        <v>2</v>
      </c>
      <c r="AH40" s="148" t="n">
        <v>0</v>
      </c>
      <c r="AI40" s="150" t="n">
        <v>2</v>
      </c>
      <c r="AJ40" s="154" t="n">
        <v>-1</v>
      </c>
      <c r="AK40" s="154" t="n">
        <v>0</v>
      </c>
      <c r="AL40" s="156" t="n">
        <v>0</v>
      </c>
      <c r="AM40" s="159" t="n">
        <v>1</v>
      </c>
      <c r="AN40" s="163" t="n">
        <v>0</v>
      </c>
      <c r="AO40" s="163" t="n">
        <v>0</v>
      </c>
      <c r="AP40" s="166" t="n">
        <v>0</v>
      </c>
      <c r="AQ40" s="168" t="n">
        <v>1</v>
      </c>
      <c r="AR40" s="172" t="n">
        <v>0</v>
      </c>
      <c r="AS40" s="175" t="n">
        <v>0</v>
      </c>
      <c r="AT40" s="178" t="n">
        <v>0</v>
      </c>
      <c r="AU40" s="178" t="n">
        <v>0</v>
      </c>
      <c r="AV40" s="181" t="n">
        <v>0</v>
      </c>
      <c r="AW40" s="183" t="n">
        <v>0</v>
      </c>
      <c r="AX40" s="183" t="n">
        <v>0</v>
      </c>
      <c r="AY40" s="187" t="n">
        <v>0</v>
      </c>
      <c r="AZ40" s="189" t="n">
        <v>0</v>
      </c>
      <c r="BA40" s="191" t="n">
        <v>1</v>
      </c>
      <c r="BB40" s="196" t="n">
        <v>0</v>
      </c>
      <c r="BC40" s="199" t="n">
        <v>0</v>
      </c>
      <c r="BD40" s="202" t="n">
        <v>0</v>
      </c>
      <c r="BE40" s="205" t="n">
        <v>0</v>
      </c>
      <c r="BF40" s="205" t="n">
        <v>0</v>
      </c>
      <c r="BG40" s="208" t="n">
        <v>-1</v>
      </c>
      <c r="BH40" s="211" t="n">
        <v>0</v>
      </c>
      <c r="BI40" s="211" t="n">
        <v>0</v>
      </c>
      <c r="BJ40" s="210" t="n">
        <v>2</v>
      </c>
      <c r="BK40" s="211" t="n">
        <v>0</v>
      </c>
      <c r="BL40" s="211" t="n">
        <v>0</v>
      </c>
      <c r="BM40" s="211" t="n">
        <v>-1</v>
      </c>
      <c r="BN40" s="214" t="n">
        <v>1</v>
      </c>
      <c r="BO40" s="215" t="n">
        <v>0</v>
      </c>
      <c r="BP40" s="214" t="n">
        <v>1</v>
      </c>
      <c r="BQ40" s="215" t="n">
        <v>0</v>
      </c>
    </row>
    <row r="41" ht="15.75" customHeight="1" thickBot="1">
      <c r="A41" s="59" t="inlineStr">
        <is>
          <t>https://open.spotify.com/playlist/6EkHz6MaQcvobOBTq5q1j8</t>
        </is>
      </c>
      <c r="B41" s="43" t="inlineStr">
        <is>
          <t>RESTAURANT MUSIC 2026 🍷 SOFT POP 🌟 RELAXING HITS</t>
        </is>
      </c>
      <c r="C41" s="55" t="inlineStr">
        <is>
          <t>6EkHz6MaQcvobOBTq5q1j8</t>
        </is>
      </c>
      <c r="D41" s="53" t="n">
        <v>116</v>
      </c>
      <c r="E41" s="50" t="n">
        <v>1</v>
      </c>
      <c r="F41" s="50" t="n">
        <v>0</v>
      </c>
      <c r="G41" s="48" t="n">
        <v>2</v>
      </c>
      <c r="H41" s="48" t="n">
        <v>2</v>
      </c>
      <c r="I41" s="70" t="n">
        <v>1</v>
      </c>
      <c r="J41" s="73" t="n">
        <v>2</v>
      </c>
      <c r="K41" s="77" t="n">
        <v>1</v>
      </c>
      <c r="L41" s="79" t="n">
        <v>1</v>
      </c>
      <c r="M41" s="82" t="n">
        <v>1</v>
      </c>
      <c r="N41" s="85" t="n">
        <v>2</v>
      </c>
      <c r="O41" s="89" t="n">
        <v>2</v>
      </c>
      <c r="P41" s="92" t="n">
        <v>2</v>
      </c>
      <c r="Q41" s="95" t="n">
        <v>2</v>
      </c>
      <c r="R41" s="99" t="n">
        <v>2</v>
      </c>
      <c r="S41" s="101" t="n">
        <v>2</v>
      </c>
      <c r="T41" s="104" t="n">
        <v>2</v>
      </c>
      <c r="U41" s="107" t="n">
        <v>1</v>
      </c>
      <c r="V41" s="110" t="n">
        <v>3</v>
      </c>
      <c r="W41" s="114" t="n">
        <v>0</v>
      </c>
      <c r="X41" s="116" t="n">
        <v>3</v>
      </c>
      <c r="Y41" s="119" t="n">
        <v>1</v>
      </c>
      <c r="Z41" s="123" t="n">
        <v>0</v>
      </c>
      <c r="AA41" s="127" t="n">
        <v>0</v>
      </c>
      <c r="AB41" s="130" t="n">
        <v>0</v>
      </c>
      <c r="AC41" s="132" t="n">
        <v>1</v>
      </c>
      <c r="AD41" s="136" t="n">
        <v>0</v>
      </c>
      <c r="AE41" s="138" t="n">
        <v>0</v>
      </c>
      <c r="AF41" s="142" t="n">
        <v>0</v>
      </c>
      <c r="AG41" s="145" t="n">
        <v>0</v>
      </c>
      <c r="AH41" s="148" t="n">
        <v>0</v>
      </c>
      <c r="AI41" s="150" t="n">
        <v>3</v>
      </c>
      <c r="AJ41" s="152" t="n">
        <v>1</v>
      </c>
      <c r="AK41" s="154" t="n">
        <v>0</v>
      </c>
      <c r="AL41" s="157" t="n">
        <v>3</v>
      </c>
      <c r="AM41" s="159" t="n">
        <v>2</v>
      </c>
      <c r="AN41" s="161" t="n">
        <v>2</v>
      </c>
      <c r="AO41" s="161" t="n">
        <v>2</v>
      </c>
      <c r="AP41" s="166" t="n">
        <v>0</v>
      </c>
      <c r="AQ41" s="169" t="n">
        <v>0</v>
      </c>
      <c r="AR41" s="172" t="n">
        <v>0</v>
      </c>
      <c r="AS41" s="175" t="n">
        <v>0</v>
      </c>
      <c r="AT41" s="176" t="n">
        <v>4</v>
      </c>
      <c r="AU41" s="177" t="n">
        <v>2</v>
      </c>
      <c r="AV41" s="180" t="n">
        <v>1</v>
      </c>
      <c r="AW41" s="183" t="n">
        <v>0</v>
      </c>
      <c r="AX41" s="183" t="n">
        <v>0</v>
      </c>
      <c r="AY41" s="187" t="n">
        <v>0</v>
      </c>
      <c r="AZ41" s="190" t="n">
        <v>2</v>
      </c>
      <c r="BA41" s="192" t="n">
        <v>0</v>
      </c>
      <c r="BB41" s="194" t="n">
        <v>2</v>
      </c>
      <c r="BC41" s="199" t="n">
        <v>0</v>
      </c>
      <c r="BD41" s="202" t="n">
        <v>0</v>
      </c>
      <c r="BE41" s="204" t="n">
        <v>1</v>
      </c>
      <c r="BF41" s="205" t="n">
        <v>0</v>
      </c>
      <c r="BG41" s="207" t="n">
        <v>2</v>
      </c>
      <c r="BH41" s="211" t="n">
        <v>0</v>
      </c>
      <c r="BI41" s="210" t="n">
        <v>1</v>
      </c>
      <c r="BJ41" s="211" t="n">
        <v>0</v>
      </c>
      <c r="BK41" s="210" t="n">
        <v>1</v>
      </c>
      <c r="BL41" s="211" t="n">
        <v>0</v>
      </c>
      <c r="BM41" s="210" t="n">
        <v>2</v>
      </c>
      <c r="BN41" s="214" t="n">
        <v>2</v>
      </c>
      <c r="BO41" s="214" t="n">
        <v>1</v>
      </c>
      <c r="BP41" s="214" t="n">
        <v>3</v>
      </c>
      <c r="BQ41" s="215" t="n">
        <v>0</v>
      </c>
    </row>
    <row r="42" ht="15.75" customHeight="1" thickBot="1">
      <c r="A42" s="59" t="inlineStr">
        <is>
          <t>https://open.spotify.com/playlist/6MqJyxbdpiPz6zONBc1QhW</t>
        </is>
      </c>
      <c r="B42" s="45" t="inlineStr">
        <is>
          <t>SAD VIOLIN 2026 🎻 EMOTIONAL CLASSICS 🌙 CALM INSTRUMENTALS</t>
        </is>
      </c>
      <c r="C42" s="57" t="inlineStr">
        <is>
          <t>6MqJyxbdpiPz6zONBc1QhW</t>
        </is>
      </c>
      <c r="D42" s="53" t="n">
        <v>79</v>
      </c>
      <c r="E42" s="50" t="n">
        <v>0</v>
      </c>
      <c r="F42" s="50" t="n">
        <v>0</v>
      </c>
      <c r="G42" s="48" t="n">
        <v>1</v>
      </c>
      <c r="H42" s="48" t="n">
        <v>0</v>
      </c>
      <c r="I42" s="71" t="n">
        <v>0</v>
      </c>
      <c r="J42" s="74" t="n">
        <v>0</v>
      </c>
      <c r="K42" s="77" t="n">
        <v>1</v>
      </c>
      <c r="L42" s="79" t="n">
        <v>1</v>
      </c>
      <c r="M42" s="82" t="n">
        <v>2</v>
      </c>
      <c r="N42" s="86" t="n">
        <v>0</v>
      </c>
      <c r="O42" s="89" t="n">
        <v>2</v>
      </c>
      <c r="P42" s="93" t="n">
        <v>0</v>
      </c>
      <c r="Q42" s="95" t="n">
        <v>1</v>
      </c>
      <c r="R42" s="99" t="n">
        <v>1</v>
      </c>
      <c r="S42" s="101" t="n">
        <v>1</v>
      </c>
      <c r="T42" s="104" t="n">
        <v>1</v>
      </c>
      <c r="U42" s="107" t="n">
        <v>1</v>
      </c>
      <c r="V42" s="110" t="n">
        <v>2</v>
      </c>
      <c r="W42" s="114" t="n">
        <v>0</v>
      </c>
      <c r="X42" s="117" t="n">
        <v>0</v>
      </c>
      <c r="Y42" s="120" t="n">
        <v>0</v>
      </c>
      <c r="Z42" s="121" t="n">
        <v>2</v>
      </c>
      <c r="AA42" s="127" t="n">
        <v>0</v>
      </c>
      <c r="AB42" s="130" t="n">
        <v>0</v>
      </c>
      <c r="AC42" s="133" t="n">
        <v>0</v>
      </c>
      <c r="AD42" s="136" t="n">
        <v>0</v>
      </c>
      <c r="AE42" s="138" t="n">
        <v>0</v>
      </c>
      <c r="AF42" s="141" t="n">
        <v>1</v>
      </c>
      <c r="AG42" s="145" t="n">
        <v>0</v>
      </c>
      <c r="AH42" s="147" t="n">
        <v>1</v>
      </c>
      <c r="AI42" s="151" t="n">
        <v>0</v>
      </c>
      <c r="AJ42" s="154" t="n">
        <v>0</v>
      </c>
      <c r="AK42" s="154" t="n">
        <v>0</v>
      </c>
      <c r="AL42" s="157" t="n">
        <v>1</v>
      </c>
      <c r="AM42" s="160" t="n">
        <v>0</v>
      </c>
      <c r="AN42" s="162" t="n">
        <v>1</v>
      </c>
      <c r="AO42" s="162" t="n">
        <v>0</v>
      </c>
      <c r="AP42" s="166" t="n">
        <v>0</v>
      </c>
      <c r="AQ42" s="168" t="n">
        <v>1</v>
      </c>
      <c r="AR42" s="172" t="n">
        <v>0</v>
      </c>
      <c r="AS42" s="175" t="n">
        <v>0</v>
      </c>
      <c r="AT42" s="178" t="n">
        <v>0</v>
      </c>
      <c r="AU42" s="178" t="n">
        <v>0</v>
      </c>
      <c r="AV42" s="181" t="n">
        <v>0</v>
      </c>
      <c r="AW42" s="183" t="n">
        <v>0</v>
      </c>
      <c r="AX42" s="184" t="n">
        <v>2</v>
      </c>
      <c r="AY42" s="187" t="n">
        <v>0</v>
      </c>
      <c r="AZ42" s="189" t="n">
        <v>0</v>
      </c>
      <c r="BA42" s="191" t="n">
        <v>1</v>
      </c>
      <c r="BB42" s="196" t="n">
        <v>0</v>
      </c>
      <c r="BC42" s="199" t="n">
        <v>0</v>
      </c>
      <c r="BD42" s="202" t="n">
        <v>0</v>
      </c>
      <c r="BE42" s="205" t="n">
        <v>0</v>
      </c>
      <c r="BF42" s="205" t="n">
        <v>0</v>
      </c>
      <c r="BG42" s="208" t="n">
        <v>0</v>
      </c>
      <c r="BH42" s="211" t="n">
        <v>0</v>
      </c>
      <c r="BI42" s="210" t="n">
        <v>3</v>
      </c>
      <c r="BJ42" s="211" t="n">
        <v>0</v>
      </c>
      <c r="BK42" s="211" t="n">
        <v>0</v>
      </c>
      <c r="BL42" s="211" t="n">
        <v>0</v>
      </c>
      <c r="BM42" s="211" t="n">
        <v>0</v>
      </c>
      <c r="BN42" s="214" t="n">
        <v>1</v>
      </c>
      <c r="BO42" s="215" t="n">
        <v>0</v>
      </c>
      <c r="BP42" s="214" t="n">
        <v>1</v>
      </c>
      <c r="BQ42" s="215" t="n">
        <v>0</v>
      </c>
    </row>
    <row r="43" ht="15.75" customHeight="1" thickBot="1">
      <c r="A43" s="59" t="inlineStr">
        <is>
          <t>https://open.spotify.com/playlist/34i5Onp05GNMOLGKoGxbrl</t>
        </is>
      </c>
      <c r="B43" s="45" t="inlineStr">
        <is>
          <t>FREAKY Bedroom jams 🥵😈💦 Freaky Playlist • Naughty Music 😏👅💦</t>
        </is>
      </c>
      <c r="C43" s="57" t="inlineStr">
        <is>
          <t>34i5Onp05GNMOLGKoGxbrl</t>
        </is>
      </c>
      <c r="D43" s="53" t="n">
        <v>67</v>
      </c>
      <c r="E43" s="50" t="n">
        <v>0</v>
      </c>
      <c r="F43" s="50" t="n">
        <v>0</v>
      </c>
      <c r="G43" s="48" t="n">
        <v>0</v>
      </c>
      <c r="H43" s="48" t="n">
        <v>1</v>
      </c>
      <c r="I43" s="71" t="n">
        <v>0</v>
      </c>
      <c r="J43" s="74" t="n">
        <v>0</v>
      </c>
      <c r="K43" s="76" t="n">
        <v>-1</v>
      </c>
      <c r="L43" s="79" t="n">
        <v>2</v>
      </c>
      <c r="M43" s="82" t="n">
        <v>3</v>
      </c>
      <c r="N43" s="85" t="n">
        <v>3</v>
      </c>
      <c r="O43" s="89" t="n">
        <v>2</v>
      </c>
      <c r="P43" s="92" t="n">
        <v>3</v>
      </c>
      <c r="Q43" s="95" t="n">
        <v>2</v>
      </c>
      <c r="R43" s="98" t="n">
        <v>0</v>
      </c>
      <c r="S43" s="101" t="n">
        <v>2</v>
      </c>
      <c r="T43" s="104" t="n">
        <v>3</v>
      </c>
      <c r="U43" s="107" t="n">
        <v>1</v>
      </c>
      <c r="V43" s="110" t="n">
        <v>3</v>
      </c>
      <c r="W43" s="114" t="n">
        <v>0</v>
      </c>
      <c r="X43" s="116" t="n">
        <v>1</v>
      </c>
      <c r="Y43" s="118" t="n">
        <v>6</v>
      </c>
      <c r="Z43" s="123" t="n">
        <v>0</v>
      </c>
      <c r="AA43" s="126" t="n">
        <v>1</v>
      </c>
      <c r="AB43" s="129" t="n">
        <v>1</v>
      </c>
      <c r="AC43" s="132" t="n">
        <v>2</v>
      </c>
      <c r="AD43" s="135" t="n">
        <v>3</v>
      </c>
      <c r="AE43" s="139" t="n">
        <v>1</v>
      </c>
      <c r="AF43" s="142" t="n">
        <v>0</v>
      </c>
      <c r="AG43" s="145" t="n">
        <v>0</v>
      </c>
      <c r="AH43" s="148" t="n">
        <v>0</v>
      </c>
      <c r="AI43" s="151" t="n">
        <v>0</v>
      </c>
      <c r="AJ43" s="152" t="n">
        <v>3</v>
      </c>
      <c r="AK43" s="154" t="n">
        <v>0</v>
      </c>
      <c r="AL43" s="156" t="n">
        <v>0</v>
      </c>
      <c r="AM43" s="160" t="n">
        <v>0</v>
      </c>
      <c r="AN43" s="162" t="n">
        <v>1</v>
      </c>
      <c r="AO43" s="162" t="n">
        <v>1</v>
      </c>
      <c r="AP43" s="165" t="n">
        <v>1</v>
      </c>
      <c r="AQ43" s="168" t="n">
        <v>1</v>
      </c>
      <c r="AR43" s="172" t="n">
        <v>0</v>
      </c>
      <c r="AS43" s="175" t="n">
        <v>0</v>
      </c>
      <c r="AT43" s="178" t="n">
        <v>0</v>
      </c>
      <c r="AU43" s="177" t="n">
        <v>1</v>
      </c>
      <c r="AV43" s="181" t="n">
        <v>0</v>
      </c>
      <c r="AW43" s="183" t="n">
        <v>0</v>
      </c>
      <c r="AX43" s="183" t="n">
        <v>0</v>
      </c>
      <c r="AY43" s="187" t="n">
        <v>0</v>
      </c>
      <c r="AZ43" s="189" t="n">
        <v>0</v>
      </c>
      <c r="BA43" s="192" t="n">
        <v>0</v>
      </c>
      <c r="BB43" s="196" t="n">
        <v>0</v>
      </c>
      <c r="BC43" s="199" t="n">
        <v>0</v>
      </c>
      <c r="BD43" s="202" t="n">
        <v>-1</v>
      </c>
      <c r="BE43" s="205" t="n">
        <v>0</v>
      </c>
      <c r="BF43" s="205" t="n">
        <v>0</v>
      </c>
      <c r="BG43" s="208" t="n">
        <v>-1</v>
      </c>
      <c r="BH43" s="211" t="n">
        <v>0</v>
      </c>
      <c r="BI43" s="211" t="n">
        <v>0</v>
      </c>
      <c r="BJ43" s="211" t="n">
        <v>0</v>
      </c>
      <c r="BK43" s="211" t="n">
        <v>0</v>
      </c>
      <c r="BL43" s="211" t="n">
        <v>0</v>
      </c>
      <c r="BM43" s="211" t="n">
        <v>0</v>
      </c>
      <c r="BN43" s="215" t="n">
        <v>0</v>
      </c>
      <c r="BO43" s="215" t="n">
        <v>0</v>
      </c>
      <c r="BP43" s="215" t="n">
        <v>0</v>
      </c>
      <c r="BQ43" s="215" t="n">
        <v>0</v>
      </c>
    </row>
    <row r="44" ht="15.75" customHeight="1" thickBot="1">
      <c r="A44" s="62" t="inlineStr">
        <is>
          <t>https://open.spotify.com/playlist/6YunZqom1xq8Rid5g5HtCg</t>
        </is>
      </c>
      <c r="B44" s="33" t="inlineStr">
        <is>
          <t>BLAZING Viral Mashups 2026 🔥 – TikTok Trending Sounds &amp; Remixes</t>
        </is>
      </c>
      <c r="C44" s="58" t="inlineStr">
        <is>
          <t>6YunZqom1xq8Rid5g5HtCg</t>
        </is>
      </c>
      <c r="D44" s="53" t="n">
        <v>37</v>
      </c>
      <c r="E44" s="50" t="n">
        <v>1</v>
      </c>
      <c r="F44" s="50" t="n">
        <v>0</v>
      </c>
      <c r="G44" s="48" t="n">
        <v>0</v>
      </c>
      <c r="H44" s="48" t="n">
        <v>0</v>
      </c>
      <c r="I44" s="70" t="n">
        <v>1</v>
      </c>
      <c r="J44" s="73" t="n">
        <v>2</v>
      </c>
      <c r="K44" s="76" t="n">
        <v>0</v>
      </c>
      <c r="L44" s="79" t="n">
        <v>2</v>
      </c>
      <c r="M44" s="83" t="n">
        <v>0</v>
      </c>
      <c r="N44" s="85" t="n">
        <v>1</v>
      </c>
      <c r="O44" s="89" t="n">
        <v>1</v>
      </c>
      <c r="P44" s="93" t="n">
        <v>0</v>
      </c>
      <c r="Q44" s="95" t="n">
        <v>1</v>
      </c>
      <c r="R44" s="99" t="n">
        <v>1</v>
      </c>
      <c r="S44" s="102" t="n">
        <v>0</v>
      </c>
      <c r="T44" s="104" t="n">
        <v>2</v>
      </c>
      <c r="U44" s="108" t="n">
        <v>0</v>
      </c>
      <c r="V44" s="110" t="n">
        <v>1</v>
      </c>
      <c r="W44" s="114" t="n">
        <v>0</v>
      </c>
      <c r="X44" s="117" t="n">
        <v>0</v>
      </c>
      <c r="Y44" s="120" t="n">
        <v>0</v>
      </c>
      <c r="Z44" s="123" t="n">
        <v>0</v>
      </c>
      <c r="AA44" s="127" t="n">
        <v>0</v>
      </c>
      <c r="AB44" s="129" t="n">
        <v>3</v>
      </c>
      <c r="AC44" s="132" t="n">
        <v>1</v>
      </c>
      <c r="AD44" s="135" t="n">
        <v>1</v>
      </c>
      <c r="AE44" s="138" t="n">
        <v>0</v>
      </c>
      <c r="AF44" s="142" t="n">
        <v>0</v>
      </c>
      <c r="AN44" t="n">
        <v>0</v>
      </c>
      <c r="AO44" t="n">
        <v>0</v>
      </c>
    </row>
    <row r="45" ht="15.75" customHeight="1" thickBot="1">
      <c r="A45" s="62" t="inlineStr">
        <is>
          <t>https://open.spotify.com/playlist/0uYnh6k5LrtwS1WYTmjwhb</t>
        </is>
      </c>
      <c r="B45" s="33" t="inlineStr">
        <is>
          <t>DYNAMIC TikTok Trending Mashups 2026 🔥 – Remix Edits &amp; Party Energy</t>
        </is>
      </c>
      <c r="C45" s="33" t="inlineStr">
        <is>
          <t>0uYnh6k5LrtwS1WYTmjwhb</t>
        </is>
      </c>
      <c r="D45" s="53" t="n">
        <v>17</v>
      </c>
      <c r="E45" s="50" t="n">
        <v>0</v>
      </c>
      <c r="F45" s="50" t="n">
        <v>0</v>
      </c>
      <c r="G45" s="48" t="n">
        <v>0</v>
      </c>
      <c r="H45" s="48" t="n">
        <v>0</v>
      </c>
      <c r="I45" s="71" t="n">
        <v>0</v>
      </c>
      <c r="J45" s="73" t="n">
        <v>1</v>
      </c>
      <c r="K45" s="76" t="n">
        <v>0</v>
      </c>
      <c r="L45" s="79" t="n">
        <v>2</v>
      </c>
      <c r="M45" s="82" t="n">
        <v>1</v>
      </c>
      <c r="N45" s="86" t="n">
        <v>0</v>
      </c>
      <c r="O45" s="89" t="n">
        <v>1</v>
      </c>
      <c r="P45" s="92" t="n">
        <v>1</v>
      </c>
      <c r="Q45" s="96" t="n">
        <v>0</v>
      </c>
      <c r="R45" s="98" t="n">
        <v>0</v>
      </c>
      <c r="S45" s="102" t="n">
        <v>0</v>
      </c>
      <c r="T45" s="104" t="n">
        <v>1</v>
      </c>
      <c r="U45" s="107" t="n">
        <v>1</v>
      </c>
      <c r="V45" s="110" t="n">
        <v>1</v>
      </c>
      <c r="W45" s="113" t="n">
        <v>1</v>
      </c>
      <c r="X45" s="116" t="n">
        <v>2</v>
      </c>
      <c r="Y45" s="120" t="n">
        <v>0</v>
      </c>
      <c r="Z45" s="123" t="n">
        <v>0</v>
      </c>
      <c r="AA45" s="127" t="n">
        <v>0</v>
      </c>
      <c r="AB45" s="129" t="n">
        <v>2</v>
      </c>
      <c r="AC45" s="133" t="n">
        <v>0</v>
      </c>
      <c r="AD45" s="135" t="n">
        <v>3</v>
      </c>
      <c r="AE45" s="138" t="n">
        <v>0</v>
      </c>
      <c r="AF45" s="142" t="n">
        <v>0</v>
      </c>
      <c r="AN45" t="n">
        <v>0</v>
      </c>
      <c r="AO45" t="n">
        <v>0</v>
      </c>
    </row>
    <row r="46" ht="15.75" customHeight="1" thickBot="1">
      <c r="A46" s="62" t="inlineStr">
        <is>
          <t>https://open.spotify.com/playlist/1aJPXIpbzt9XeyulTir5n1</t>
        </is>
      </c>
      <c r="B46" s="33" t="inlineStr">
        <is>
          <t>AMAZING Mashups 2026 🔥 – Viral Sounds &amp; Edit Transitions</t>
        </is>
      </c>
      <c r="C46" s="33" t="inlineStr">
        <is>
          <t>1aJPXIpbzt9XeyulTir5n1</t>
        </is>
      </c>
      <c r="D46" s="53" t="n">
        <v>21</v>
      </c>
      <c r="E46" s="50" t="n">
        <v>0</v>
      </c>
      <c r="F46" s="50" t="n">
        <v>0</v>
      </c>
      <c r="G46" s="48" t="n">
        <v>0</v>
      </c>
      <c r="H46" s="48" t="n">
        <v>0</v>
      </c>
      <c r="I46" s="71" t="n">
        <v>0</v>
      </c>
      <c r="J46" s="74" t="n">
        <v>0</v>
      </c>
      <c r="K46" s="76" t="n">
        <v>0</v>
      </c>
      <c r="L46" s="80" t="n">
        <v>0</v>
      </c>
      <c r="M46" s="83" t="n">
        <v>0</v>
      </c>
      <c r="N46" s="86" t="n">
        <v>0</v>
      </c>
      <c r="O46" s="90" t="n">
        <v>0</v>
      </c>
      <c r="P46" s="93" t="n">
        <v>0</v>
      </c>
      <c r="Q46" s="95" t="n">
        <v>1</v>
      </c>
      <c r="R46" s="99" t="n">
        <v>1</v>
      </c>
      <c r="S46" s="102" t="n">
        <v>0</v>
      </c>
      <c r="T46" s="105" t="n">
        <v>0</v>
      </c>
      <c r="U46" s="108" t="n">
        <v>0</v>
      </c>
      <c r="V46" s="111" t="n">
        <v>0</v>
      </c>
      <c r="W46" s="114" t="n">
        <v>0</v>
      </c>
      <c r="X46" s="117" t="n">
        <v>0</v>
      </c>
      <c r="Y46" s="120" t="n">
        <v>0</v>
      </c>
      <c r="Z46" s="123" t="n">
        <v>0</v>
      </c>
      <c r="AA46" s="127" t="n">
        <v>0</v>
      </c>
      <c r="AB46" s="130" t="n">
        <v>0</v>
      </c>
      <c r="AC46" s="133" t="n">
        <v>0</v>
      </c>
      <c r="AD46" s="135" t="n">
        <v>1</v>
      </c>
      <c r="AE46" s="138" t="n">
        <v>0</v>
      </c>
      <c r="AF46" s="141" t="n">
        <v>1</v>
      </c>
      <c r="AG46" s="144" t="n">
        <v>1</v>
      </c>
      <c r="AH46" s="147" t="n">
        <v>1</v>
      </c>
      <c r="AI46" s="151" t="n">
        <v>0</v>
      </c>
      <c r="AJ46" s="154" t="n">
        <v>0</v>
      </c>
      <c r="AK46" s="154" t="n">
        <v>0</v>
      </c>
      <c r="AL46" s="156" t="n">
        <v>0</v>
      </c>
      <c r="AM46" s="159" t="n">
        <v>1</v>
      </c>
      <c r="AN46" s="163" t="n">
        <v>0</v>
      </c>
      <c r="AO46" s="163" t="n">
        <v>0</v>
      </c>
      <c r="AP46" s="166" t="n">
        <v>0</v>
      </c>
      <c r="AQ46" s="169" t="n">
        <v>0</v>
      </c>
      <c r="AR46" s="172" t="n">
        <v>0</v>
      </c>
      <c r="AS46" s="175" t="n">
        <v>0</v>
      </c>
      <c r="AT46" s="178" t="n">
        <v>0</v>
      </c>
      <c r="AU46" s="178" t="n">
        <v>0</v>
      </c>
      <c r="AV46" s="181" t="n">
        <v>0</v>
      </c>
      <c r="AW46" s="183" t="n">
        <v>0</v>
      </c>
      <c r="AX46" s="183" t="n">
        <v>0</v>
      </c>
      <c r="AY46" s="186" t="n">
        <v>1</v>
      </c>
      <c r="AZ46" s="189" t="n">
        <v>0</v>
      </c>
      <c r="BA46" s="192" t="n">
        <v>0</v>
      </c>
      <c r="BB46" s="196" t="n">
        <v>0</v>
      </c>
      <c r="BC46" s="199" t="n">
        <v>0</v>
      </c>
      <c r="BD46" s="202" t="n">
        <v>0</v>
      </c>
      <c r="BE46" s="205" t="n">
        <v>0</v>
      </c>
      <c r="BF46" s="205" t="n">
        <v>0</v>
      </c>
      <c r="BG46" s="208" t="n">
        <v>0</v>
      </c>
      <c r="BH46" s="211" t="n">
        <v>0</v>
      </c>
      <c r="BI46" s="211" t="n">
        <v>0</v>
      </c>
      <c r="BJ46" s="211" t="n">
        <v>0</v>
      </c>
      <c r="BK46" s="211" t="n">
        <v>0</v>
      </c>
      <c r="BL46" s="211" t="n">
        <v>0</v>
      </c>
      <c r="BM46" s="211" t="n">
        <v>0</v>
      </c>
      <c r="BN46" s="215" t="n">
        <v>0</v>
      </c>
      <c r="BO46" s="215" t="n">
        <v>0</v>
      </c>
      <c r="BP46" s="215" t="n">
        <v>0</v>
      </c>
      <c r="BQ46" s="214" t="n">
        <v>1</v>
      </c>
    </row>
    <row r="47" ht="15.75" customHeight="1" thickBot="1">
      <c r="A47" s="62" t="inlineStr">
        <is>
          <t>https://open.spotify.com/playlist/2LJTmT4QWHntCkmi8jNjw3</t>
        </is>
      </c>
      <c r="B47" s="33" t="inlineStr">
        <is>
          <t>EXPLOSIVE TikTok Mashup Party Mix 2026 🔥 – Hype Songs &amp; Remix Drops</t>
        </is>
      </c>
      <c r="C47" s="33" t="inlineStr">
        <is>
          <t>2LJTmT4QWHntCkmi8jNjw3</t>
        </is>
      </c>
      <c r="D47" s="53" t="n">
        <v>49</v>
      </c>
      <c r="E47" s="50" t="n">
        <v>0</v>
      </c>
      <c r="F47" s="50" t="n">
        <v>1</v>
      </c>
      <c r="G47" s="48" t="n">
        <v>0</v>
      </c>
      <c r="H47" s="48" t="n">
        <v>1</v>
      </c>
      <c r="I47" s="71" t="n">
        <v>0</v>
      </c>
      <c r="J47" s="73" t="n">
        <v>1</v>
      </c>
      <c r="K47" s="76" t="n">
        <v>0</v>
      </c>
      <c r="L47" s="79" t="n">
        <v>1</v>
      </c>
      <c r="M47" s="83" t="n">
        <v>0</v>
      </c>
      <c r="N47" s="85" t="n">
        <v>1</v>
      </c>
      <c r="O47" s="89" t="n">
        <v>1</v>
      </c>
      <c r="P47" s="92" t="n">
        <v>1</v>
      </c>
      <c r="Q47" s="95" t="n">
        <v>3</v>
      </c>
      <c r="R47" s="99" t="n">
        <v>1</v>
      </c>
      <c r="S47" s="102" t="n">
        <v>0</v>
      </c>
      <c r="T47" s="105" t="n">
        <v>0</v>
      </c>
      <c r="U47" s="108" t="n">
        <v>0</v>
      </c>
      <c r="V47" s="111" t="n">
        <v>0</v>
      </c>
      <c r="W47" s="113" t="n">
        <v>1</v>
      </c>
      <c r="X47" s="116" t="n">
        <v>2</v>
      </c>
      <c r="Y47" s="119" t="n">
        <v>1</v>
      </c>
      <c r="Z47" s="121" t="n">
        <v>1</v>
      </c>
      <c r="AA47" s="126" t="n">
        <v>1</v>
      </c>
      <c r="AB47" s="130" t="n">
        <v>0</v>
      </c>
      <c r="AC47" s="132" t="n">
        <v>1</v>
      </c>
      <c r="AD47" s="135" t="n">
        <v>3</v>
      </c>
      <c r="AE47" s="138" t="n">
        <v>0</v>
      </c>
      <c r="AF47" s="141" t="n">
        <v>1</v>
      </c>
      <c r="AG47" s="144" t="n">
        <v>1</v>
      </c>
      <c r="AH47" s="147" t="n">
        <v>2</v>
      </c>
      <c r="AI47" s="150" t="n">
        <v>1</v>
      </c>
      <c r="AJ47" s="152" t="n">
        <v>1</v>
      </c>
      <c r="AK47" s="152" t="n">
        <v>1</v>
      </c>
      <c r="AL47" s="157" t="n">
        <v>3</v>
      </c>
      <c r="AM47" s="160" t="n">
        <v>0</v>
      </c>
      <c r="AN47" s="162" t="n">
        <v>1</v>
      </c>
      <c r="AO47" s="162" t="n">
        <v>1</v>
      </c>
      <c r="AP47" s="165" t="n">
        <v>2</v>
      </c>
      <c r="AQ47" s="169" t="n">
        <v>0</v>
      </c>
      <c r="AR47" s="171" t="n">
        <v>1</v>
      </c>
      <c r="AS47" s="174" t="n">
        <v>1</v>
      </c>
      <c r="AT47" s="177" t="n">
        <v>1</v>
      </c>
      <c r="AU47" s="178" t="n">
        <v>0</v>
      </c>
      <c r="AV47" s="181" t="n">
        <v>0</v>
      </c>
      <c r="AW47" s="184" t="n">
        <v>2</v>
      </c>
      <c r="AX47" s="183" t="n">
        <v>0</v>
      </c>
      <c r="AY47" s="187" t="n">
        <v>0</v>
      </c>
      <c r="AZ47" s="190" t="n">
        <v>1</v>
      </c>
      <c r="BA47" s="192" t="n">
        <v>0</v>
      </c>
      <c r="BB47" s="196" t="n">
        <v>0</v>
      </c>
      <c r="BC47" s="199" t="n">
        <v>0</v>
      </c>
      <c r="BD47" s="202" t="n">
        <v>0</v>
      </c>
      <c r="BE47" s="205" t="n">
        <v>0</v>
      </c>
      <c r="BF47" s="205" t="n">
        <v>0</v>
      </c>
      <c r="BG47" s="208" t="n">
        <v>0</v>
      </c>
      <c r="BH47" s="211" t="n">
        <v>0</v>
      </c>
      <c r="BI47" s="211" t="n">
        <v>0</v>
      </c>
      <c r="BJ47" s="211" t="n">
        <v>0</v>
      </c>
      <c r="BK47" s="211" t="n">
        <v>0</v>
      </c>
      <c r="BL47" s="211" t="n">
        <v>0</v>
      </c>
      <c r="BM47" s="211" t="n">
        <v>0</v>
      </c>
      <c r="BN47" s="215" t="n">
        <v>0</v>
      </c>
      <c r="BO47" s="215" t="n">
        <v>0</v>
      </c>
      <c r="BP47" s="215" t="n">
        <v>0</v>
      </c>
      <c r="BQ47" s="215" t="n">
        <v>-1</v>
      </c>
    </row>
    <row r="48" ht="15.75" customHeight="1" thickBot="1">
      <c r="A48" s="62" t="inlineStr">
        <is>
          <t>https://open.spotify.com/playlist/508IOoSYdvS0f9VtiDABsc</t>
        </is>
      </c>
      <c r="B48" s="33" t="inlineStr">
        <is>
          <t>UNSTOPPABLE Viral Mashups Nonstop 2026 🔥 – Trending Audio &amp; FYP Mix</t>
        </is>
      </c>
      <c r="C48" s="33" t="inlineStr">
        <is>
          <t>508IOoSYdvS0f9VtiDABsc</t>
        </is>
      </c>
      <c r="D48" s="53" t="n">
        <v>40</v>
      </c>
      <c r="E48" s="50" t="n">
        <v>0</v>
      </c>
      <c r="F48" s="50" t="n">
        <v>0</v>
      </c>
      <c r="G48" s="48" t="n">
        <v>0</v>
      </c>
      <c r="H48" s="48" t="n">
        <v>0</v>
      </c>
      <c r="I48" s="70" t="n">
        <v>1</v>
      </c>
      <c r="J48" s="74" t="n">
        <v>0</v>
      </c>
      <c r="K48" s="76" t="n">
        <v>0</v>
      </c>
      <c r="L48" s="79" t="n">
        <v>1</v>
      </c>
      <c r="M48" s="83" t="n">
        <v>0</v>
      </c>
      <c r="N48" s="85" t="n">
        <v>1</v>
      </c>
      <c r="O48" s="90" t="n">
        <v>0</v>
      </c>
      <c r="P48" s="92" t="n">
        <v>1</v>
      </c>
      <c r="Q48" s="95" t="n">
        <v>1</v>
      </c>
      <c r="R48" s="99" t="n">
        <v>3</v>
      </c>
      <c r="S48" s="102" t="n">
        <v>0</v>
      </c>
      <c r="T48" s="105" t="n">
        <v>0</v>
      </c>
      <c r="U48" s="107" t="n">
        <v>1</v>
      </c>
      <c r="V48" s="111" t="n">
        <v>0</v>
      </c>
      <c r="W48" s="114" t="n">
        <v>0</v>
      </c>
      <c r="X48" s="117" t="n">
        <v>0</v>
      </c>
      <c r="Y48" s="120" t="n">
        <v>0</v>
      </c>
      <c r="Z48" s="121" t="n">
        <v>1</v>
      </c>
      <c r="AA48" s="126" t="n">
        <v>1</v>
      </c>
      <c r="AB48" s="130" t="n">
        <v>0</v>
      </c>
      <c r="AC48" s="133" t="n">
        <v>0</v>
      </c>
      <c r="AD48" s="135" t="n">
        <v>1</v>
      </c>
      <c r="AE48" s="139" t="n">
        <v>1</v>
      </c>
      <c r="AF48" s="141" t="n">
        <v>1</v>
      </c>
      <c r="AG48" s="144" t="n">
        <v>1</v>
      </c>
      <c r="AH48" s="148" t="n">
        <v>0</v>
      </c>
      <c r="AI48" s="151" t="n">
        <v>0</v>
      </c>
      <c r="AJ48" s="152" t="n">
        <v>1</v>
      </c>
      <c r="AK48" s="152" t="n">
        <v>1</v>
      </c>
      <c r="AL48" s="157" t="n">
        <v>1</v>
      </c>
      <c r="AM48" s="160" t="n">
        <v>0</v>
      </c>
      <c r="AN48" s="163" t="n">
        <v>0</v>
      </c>
      <c r="AO48" s="163" t="n">
        <v>0</v>
      </c>
      <c r="AP48" s="165" t="n">
        <v>1</v>
      </c>
      <c r="AQ48" s="169" t="n">
        <v>0</v>
      </c>
      <c r="AR48" s="172" t="n">
        <v>0</v>
      </c>
      <c r="AS48" s="174" t="n">
        <v>1</v>
      </c>
      <c r="AT48" s="177" t="n">
        <v>1</v>
      </c>
      <c r="AU48" s="178" t="n">
        <v>0</v>
      </c>
      <c r="AV48" s="181" t="n">
        <v>0</v>
      </c>
      <c r="AW48" s="183" t="n">
        <v>0</v>
      </c>
      <c r="AX48" s="183" t="n">
        <v>0</v>
      </c>
      <c r="AY48" s="187" t="n">
        <v>0</v>
      </c>
      <c r="AZ48" s="190" t="n">
        <v>1</v>
      </c>
      <c r="BA48" s="192" t="n">
        <v>0</v>
      </c>
      <c r="BB48" s="196" t="n">
        <v>0</v>
      </c>
      <c r="BC48" s="199" t="n">
        <v>0</v>
      </c>
      <c r="BD48" s="201" t="n">
        <v>1</v>
      </c>
      <c r="BE48" s="205" t="n">
        <v>0</v>
      </c>
      <c r="BF48" s="205" t="n">
        <v>0</v>
      </c>
      <c r="BG48" s="208" t="n">
        <v>0</v>
      </c>
      <c r="BH48" s="210" t="n">
        <v>1</v>
      </c>
      <c r="BI48" s="211" t="n">
        <v>0</v>
      </c>
      <c r="BJ48" s="211" t="n">
        <v>0</v>
      </c>
      <c r="BK48" s="211" t="n">
        <v>0</v>
      </c>
      <c r="BL48" s="211" t="n">
        <v>0</v>
      </c>
      <c r="BM48" s="211" t="n">
        <v>0</v>
      </c>
      <c r="BN48" s="215" t="n">
        <v>0</v>
      </c>
      <c r="BO48" s="215" t="n">
        <v>0</v>
      </c>
      <c r="BP48" s="215" t="n">
        <v>0</v>
      </c>
      <c r="BQ48" s="215" t="n">
        <v>0</v>
      </c>
    </row>
    <row r="49" ht="15.75" customHeight="1" thickBot="1">
      <c r="A49" s="62" t="inlineStr">
        <is>
          <t>https://open.spotify.com/playlist/1X7ATqiEK5rWexOsSHA6MX</t>
        </is>
      </c>
      <c r="B49" s="33" t="inlineStr">
        <is>
          <t>HYPER TikTok Mashups 2026 🔥 – Sped Up, Slow Reverb &amp; Viral Edits</t>
        </is>
      </c>
      <c r="C49" s="33" t="inlineStr">
        <is>
          <t>1X7ATqiEK5rWexOsSHA6MX</t>
        </is>
      </c>
      <c r="D49" s="53" t="n">
        <v>0</v>
      </c>
      <c r="E49" s="50" t="n">
        <v>0</v>
      </c>
      <c r="F49" s="50" t="n">
        <v>0</v>
      </c>
      <c r="G49" s="48" t="n">
        <v>0</v>
      </c>
      <c r="H49" s="48" t="n">
        <v>0</v>
      </c>
      <c r="I49" s="71" t="n">
        <v>0</v>
      </c>
      <c r="J49" s="74" t="n">
        <v>0</v>
      </c>
      <c r="K49" s="76" t="n">
        <v>0</v>
      </c>
      <c r="L49" s="80" t="n">
        <v>0</v>
      </c>
      <c r="M49" s="83" t="n">
        <v>0</v>
      </c>
      <c r="N49" s="86" t="n">
        <v>0</v>
      </c>
      <c r="O49" s="90" t="n">
        <v>0</v>
      </c>
      <c r="P49" s="93" t="n">
        <v>0</v>
      </c>
      <c r="Q49" s="96" t="n">
        <v>0</v>
      </c>
      <c r="R49" s="98" t="n">
        <v>0</v>
      </c>
      <c r="S49" s="102" t="n">
        <v>0</v>
      </c>
      <c r="T49" s="105" t="n">
        <v>0</v>
      </c>
      <c r="U49" s="105" t="n">
        <v>0</v>
      </c>
      <c r="V49" s="111" t="n">
        <v>0</v>
      </c>
      <c r="W49" s="114" t="n">
        <v>0</v>
      </c>
      <c r="X49" s="117" t="n">
        <v>0</v>
      </c>
      <c r="Y49" s="120" t="n">
        <v>0</v>
      </c>
      <c r="Z49" s="123" t="n">
        <v>0</v>
      </c>
      <c r="AA49" s="127" t="n">
        <v>0</v>
      </c>
      <c r="AB49" s="130" t="n">
        <v>0</v>
      </c>
      <c r="AC49" s="133" t="n">
        <v>0</v>
      </c>
      <c r="AD49" s="136" t="n">
        <v>0</v>
      </c>
      <c r="AE49" s="138" t="n">
        <v>0</v>
      </c>
      <c r="AF49" s="142" t="n">
        <v>0</v>
      </c>
      <c r="AN49" t="n">
        <v>0</v>
      </c>
      <c r="AO49" t="n">
        <v>0</v>
      </c>
    </row>
    <row r="50" ht="15.75" customHeight="1" thickBot="1">
      <c r="A50" s="63" t="inlineStr">
        <is>
          <t>https://open.spotify.com/playlist/1qqbf8p7OpG2qndH31pXfb</t>
        </is>
      </c>
      <c r="B50" s="34" t="inlineStr">
        <is>
          <t>ICONIC Mashup Remix Hits 2026 🔥 – Viral Social Media Sounds</t>
        </is>
      </c>
      <c r="C50" s="33" t="inlineStr">
        <is>
          <t>1qqbf8p7OpG2qndH31pXfb</t>
        </is>
      </c>
      <c r="D50" s="53" t="n">
        <v>60</v>
      </c>
      <c r="E50" s="50" t="n">
        <v>1</v>
      </c>
      <c r="F50" s="50" t="n">
        <v>1</v>
      </c>
      <c r="G50" s="48" t="n">
        <v>0</v>
      </c>
      <c r="H50" s="48" t="n">
        <v>0</v>
      </c>
      <c r="I50" s="70" t="n">
        <v>1</v>
      </c>
      <c r="J50" s="74" t="n">
        <v>0</v>
      </c>
      <c r="K50" s="77" t="n">
        <v>1</v>
      </c>
      <c r="L50" s="79" t="n">
        <v>1</v>
      </c>
      <c r="M50" s="83" t="n">
        <v>0</v>
      </c>
      <c r="N50" s="86" t="n">
        <v>0</v>
      </c>
      <c r="O50" s="89" t="n">
        <v>1</v>
      </c>
      <c r="P50" s="92" t="n">
        <v>3</v>
      </c>
      <c r="Q50" s="96" t="n">
        <v>0</v>
      </c>
      <c r="R50" s="99" t="n">
        <v>2</v>
      </c>
      <c r="S50" s="101" t="n">
        <v>1</v>
      </c>
      <c r="T50" s="104" t="n">
        <v>1</v>
      </c>
      <c r="U50" s="107" t="n">
        <v>1</v>
      </c>
      <c r="V50" s="111" t="n">
        <v>0</v>
      </c>
      <c r="W50" s="113" t="n">
        <v>2</v>
      </c>
      <c r="X50" s="116" t="n">
        <v>2</v>
      </c>
      <c r="Y50" s="119" t="n">
        <v>2</v>
      </c>
      <c r="Z50" s="122" t="n">
        <v>4</v>
      </c>
      <c r="AA50" s="126" t="n">
        <v>2</v>
      </c>
      <c r="AB50" s="129" t="n">
        <v>2</v>
      </c>
      <c r="AC50" s="132" t="n">
        <v>1</v>
      </c>
      <c r="AD50" s="135" t="n">
        <v>3</v>
      </c>
      <c r="AE50" s="138" t="n">
        <v>0</v>
      </c>
      <c r="AF50" s="141" t="n">
        <v>2</v>
      </c>
      <c r="AG50" s="144" t="n">
        <v>1</v>
      </c>
      <c r="AH50" s="148" t="n">
        <v>0</v>
      </c>
      <c r="AI50" s="150" t="n">
        <v>2</v>
      </c>
      <c r="AJ50" s="152" t="n">
        <v>3</v>
      </c>
      <c r="AK50" s="152" t="n">
        <v>1</v>
      </c>
      <c r="AL50" s="157" t="n">
        <v>1</v>
      </c>
      <c r="AM50" s="160" t="n">
        <v>0</v>
      </c>
      <c r="AN50" s="162" t="n">
        <v>1</v>
      </c>
      <c r="AO50" s="162" t="n">
        <v>0</v>
      </c>
      <c r="AP50" s="165" t="n">
        <v>1</v>
      </c>
      <c r="AQ50" s="168" t="n">
        <v>1</v>
      </c>
      <c r="AR50" s="172" t="n">
        <v>0</v>
      </c>
      <c r="AS50" s="175" t="n">
        <v>0</v>
      </c>
      <c r="AT50" s="177" t="n">
        <v>1</v>
      </c>
      <c r="AU50" s="177" t="n">
        <v>1</v>
      </c>
      <c r="AV50" s="181" t="n">
        <v>0</v>
      </c>
      <c r="AW50" s="183" t="n">
        <v>0</v>
      </c>
      <c r="AX50" s="183" t="n">
        <v>0</v>
      </c>
      <c r="AY50" s="187" t="n">
        <v>0</v>
      </c>
      <c r="AZ50" s="190" t="n">
        <v>3</v>
      </c>
      <c r="BA50" s="192" t="n">
        <v>0</v>
      </c>
      <c r="BB50" s="196" t="n">
        <v>0</v>
      </c>
      <c r="BC50" s="198" t="n">
        <v>2</v>
      </c>
      <c r="BD50" s="201" t="n">
        <v>1</v>
      </c>
      <c r="BE50" s="205" t="n">
        <v>0</v>
      </c>
      <c r="BF50" s="204" t="n">
        <v>1</v>
      </c>
      <c r="BG50" s="208" t="n">
        <v>0</v>
      </c>
      <c r="BH50" s="210" t="n">
        <v>1</v>
      </c>
      <c r="BI50" s="211" t="n">
        <v>0</v>
      </c>
      <c r="BJ50" s="211" t="n">
        <v>0</v>
      </c>
      <c r="BK50" s="211" t="n">
        <v>0</v>
      </c>
      <c r="BL50" s="211" t="n">
        <v>0</v>
      </c>
      <c r="BM50" s="211" t="n">
        <v>0</v>
      </c>
      <c r="BN50" s="215" t="n">
        <v>-1</v>
      </c>
      <c r="BO50" s="215" t="n">
        <v>0</v>
      </c>
      <c r="BP50" s="215" t="n">
        <v>0</v>
      </c>
      <c r="BQ50" s="215" t="n">
        <v>0</v>
      </c>
    </row>
    <row r="51" ht="15.75" customHeight="1" thickBot="1">
      <c r="A51" s="63" t="inlineStr">
        <is>
          <t>https://open.spotify.com/playlist/3wEu10XQfI1dDqzSCXqy6r</t>
        </is>
      </c>
      <c r="B51" s="34" t="inlineStr">
        <is>
          <t>INSANE Mashup Songs 2026 🔥 – Viral Audio, Remix Drops &amp; Edit Mix</t>
        </is>
      </c>
      <c r="C51" s="34" t="inlineStr">
        <is>
          <t>3wEu10XQfI1dDqzSCXqy6r</t>
        </is>
      </c>
      <c r="D51" s="53" t="n">
        <v>31</v>
      </c>
      <c r="E51" s="50" t="n">
        <v>0</v>
      </c>
      <c r="F51" s="50" t="n">
        <v>0</v>
      </c>
      <c r="G51" s="48" t="n">
        <v>0</v>
      </c>
      <c r="H51" s="48" t="n">
        <v>0</v>
      </c>
      <c r="I51" s="70" t="n">
        <v>2</v>
      </c>
      <c r="J51" s="73" t="n">
        <v>1</v>
      </c>
      <c r="K51" s="77" t="n">
        <v>1</v>
      </c>
      <c r="L51" s="80" t="n">
        <v>0</v>
      </c>
      <c r="M51" s="83" t="n">
        <v>0</v>
      </c>
      <c r="N51" s="86" t="n">
        <v>0</v>
      </c>
      <c r="O51" s="90" t="n">
        <v>0</v>
      </c>
      <c r="P51" s="93" t="n">
        <v>0</v>
      </c>
      <c r="Q51" s="95" t="n">
        <v>1</v>
      </c>
      <c r="R51" s="99" t="n">
        <v>2</v>
      </c>
      <c r="S51" s="102" t="n">
        <v>0</v>
      </c>
      <c r="T51" s="104" t="n">
        <v>1</v>
      </c>
      <c r="U51" s="108" t="n">
        <v>0</v>
      </c>
      <c r="V51" s="111" t="n">
        <v>0</v>
      </c>
      <c r="W51" s="114" t="n">
        <v>0</v>
      </c>
      <c r="X51" s="116" t="n">
        <v>1</v>
      </c>
      <c r="Y51" s="119" t="n">
        <v>1</v>
      </c>
      <c r="Z51" s="123" t="n">
        <v>0</v>
      </c>
      <c r="AA51" s="126" t="n">
        <v>1</v>
      </c>
      <c r="AB51" s="130" t="n">
        <v>0</v>
      </c>
      <c r="AC51" s="133" t="n">
        <v>0</v>
      </c>
      <c r="AD51" s="136" t="n">
        <v>0</v>
      </c>
      <c r="AE51" s="138" t="n">
        <v>0</v>
      </c>
      <c r="AF51" s="142" t="n">
        <v>0</v>
      </c>
      <c r="AG51" s="145" t="n">
        <v>0</v>
      </c>
      <c r="AH51" s="147" t="n">
        <v>1</v>
      </c>
      <c r="AI51" s="151" t="n">
        <v>0</v>
      </c>
      <c r="AJ51" s="152" t="n">
        <v>1</v>
      </c>
      <c r="AK51" s="152" t="n">
        <v>1</v>
      </c>
      <c r="AL51" s="157" t="n">
        <v>2</v>
      </c>
      <c r="AM51" s="159" t="n">
        <v>1</v>
      </c>
      <c r="AN51" s="162" t="n">
        <v>1</v>
      </c>
      <c r="AO51" s="162" t="n">
        <v>0</v>
      </c>
      <c r="AP51" s="166" t="n">
        <v>0</v>
      </c>
      <c r="AQ51" s="168" t="n">
        <v>3</v>
      </c>
      <c r="AR51" s="171" t="n">
        <v>2</v>
      </c>
      <c r="AS51" s="174" t="n">
        <v>2</v>
      </c>
      <c r="AT51" s="178" t="n">
        <v>0</v>
      </c>
      <c r="AU51" s="178" t="n">
        <v>0</v>
      </c>
      <c r="AV51" s="181" t="n">
        <v>0</v>
      </c>
      <c r="AW51" s="183" t="n">
        <v>0</v>
      </c>
      <c r="AX51" s="184" t="n">
        <v>2</v>
      </c>
      <c r="AY51" s="186" t="n">
        <v>1</v>
      </c>
      <c r="AZ51" s="189" t="n">
        <v>0</v>
      </c>
      <c r="BA51" s="192" t="n">
        <v>0</v>
      </c>
      <c r="BB51" s="196" t="n">
        <v>0</v>
      </c>
      <c r="BC51" s="199" t="n">
        <v>0</v>
      </c>
      <c r="BD51" s="202" t="n">
        <v>0</v>
      </c>
      <c r="BE51" s="205" t="n">
        <v>0</v>
      </c>
      <c r="BF51" s="205" t="n">
        <v>0</v>
      </c>
      <c r="BG51" s="208" t="n">
        <v>0</v>
      </c>
      <c r="BH51" s="211" t="n">
        <v>0</v>
      </c>
      <c r="BI51" s="210" t="n">
        <v>1</v>
      </c>
      <c r="BJ51" s="211" t="n">
        <v>0</v>
      </c>
      <c r="BK51" s="211" t="n">
        <v>0</v>
      </c>
      <c r="BL51" s="211" t="n">
        <v>0</v>
      </c>
      <c r="BM51" s="211" t="n">
        <v>0</v>
      </c>
      <c r="BN51" s="215" t="n">
        <v>0</v>
      </c>
      <c r="BO51" s="215" t="n">
        <v>0</v>
      </c>
      <c r="BP51" s="215" t="n">
        <v>0</v>
      </c>
      <c r="BQ51" s="215" t="n">
        <v>0</v>
      </c>
    </row>
    <row r="52" ht="15.75" customHeight="1" thickBot="1">
      <c r="A52" s="63" t="inlineStr">
        <is>
          <t>https://open.spotify.com/playlist/2b6B54oIPdae1Y4gZyDmat</t>
        </is>
      </c>
      <c r="B52" s="34" t="inlineStr">
        <is>
          <t>LEGENDARY Mashup Songs 2026 🔥 – Viral Remix Compilation &amp; Transitions</t>
        </is>
      </c>
      <c r="C52" s="34" t="inlineStr">
        <is>
          <t>2b6B54oIPdae1Y4gZyDmat</t>
        </is>
      </c>
      <c r="D52" s="53" t="n">
        <v>28</v>
      </c>
      <c r="E52" s="50" t="n">
        <v>0</v>
      </c>
      <c r="F52" s="50" t="n">
        <v>1</v>
      </c>
      <c r="G52" s="48" t="n">
        <v>0</v>
      </c>
      <c r="H52" s="48" t="n">
        <v>1</v>
      </c>
      <c r="I52" s="71" t="n">
        <v>0</v>
      </c>
      <c r="J52" s="74" t="n">
        <v>0</v>
      </c>
      <c r="K52" s="76" t="n">
        <v>0</v>
      </c>
      <c r="L52" s="79" t="n">
        <v>1</v>
      </c>
      <c r="M52" s="83" t="n">
        <v>0</v>
      </c>
      <c r="N52" s="85" t="n">
        <v>1</v>
      </c>
      <c r="O52" s="90" t="n">
        <v>0</v>
      </c>
      <c r="P52" s="93" t="n">
        <v>0</v>
      </c>
      <c r="Q52" s="96" t="n">
        <v>0</v>
      </c>
      <c r="R52" s="98" t="n">
        <v>0</v>
      </c>
      <c r="S52" s="102" t="n">
        <v>0</v>
      </c>
      <c r="T52" s="105" t="n">
        <v>0</v>
      </c>
      <c r="U52" s="107" t="n">
        <v>3</v>
      </c>
      <c r="V52" s="111" t="n">
        <v>0</v>
      </c>
      <c r="W52" s="114" t="n">
        <v>0</v>
      </c>
      <c r="X52" s="117" t="n">
        <v>0</v>
      </c>
      <c r="Y52" s="120" t="n">
        <v>0</v>
      </c>
      <c r="Z52" s="123" t="n">
        <v>0</v>
      </c>
      <c r="AA52" s="127" t="n">
        <v>0</v>
      </c>
      <c r="AB52" s="130" t="n">
        <v>0</v>
      </c>
      <c r="AC52" s="133" t="n">
        <v>0</v>
      </c>
      <c r="AD52" s="135" t="n">
        <v>1</v>
      </c>
      <c r="AE52" s="139" t="n">
        <v>1</v>
      </c>
      <c r="AF52" s="142" t="n">
        <v>0</v>
      </c>
      <c r="AG52" s="145" t="n">
        <v>0</v>
      </c>
      <c r="AH52" s="148" t="n">
        <v>0</v>
      </c>
      <c r="AI52" s="151" t="n">
        <v>0</v>
      </c>
      <c r="AJ52" s="152" t="n">
        <v>2</v>
      </c>
      <c r="AK52" s="154" t="n">
        <v>0</v>
      </c>
      <c r="AL52" s="156" t="n">
        <v>0</v>
      </c>
      <c r="AM52" s="160" t="n">
        <v>0</v>
      </c>
      <c r="AN52" s="163" t="n">
        <v>0</v>
      </c>
      <c r="AO52" s="163" t="n">
        <v>0</v>
      </c>
      <c r="AP52" s="166" t="n">
        <v>0</v>
      </c>
      <c r="AQ52" s="168" t="n">
        <v>1</v>
      </c>
      <c r="AR52" s="172" t="n">
        <v>0</v>
      </c>
      <c r="AS52" s="175" t="n">
        <v>0</v>
      </c>
      <c r="AT52" s="178" t="n">
        <v>0</v>
      </c>
      <c r="AU52" s="177" t="n">
        <v>1</v>
      </c>
      <c r="AV52" s="181" t="n">
        <v>0</v>
      </c>
      <c r="AW52" s="183" t="n">
        <v>0</v>
      </c>
      <c r="AX52" s="183" t="n">
        <v>0</v>
      </c>
      <c r="AY52" s="187" t="n">
        <v>0</v>
      </c>
      <c r="AZ52" s="189" t="n">
        <v>0</v>
      </c>
      <c r="BA52" s="191" t="n">
        <v>1</v>
      </c>
      <c r="BB52" s="196" t="n">
        <v>0</v>
      </c>
      <c r="BC52" s="199" t="n">
        <v>0</v>
      </c>
      <c r="BD52" s="202" t="n">
        <v>0</v>
      </c>
      <c r="BE52" s="205" t="n">
        <v>0</v>
      </c>
      <c r="BF52" s="205" t="n">
        <v>0</v>
      </c>
      <c r="BG52" s="208" t="n">
        <v>0</v>
      </c>
      <c r="BH52" s="211" t="n">
        <v>0</v>
      </c>
      <c r="BI52" s="211" t="n">
        <v>0</v>
      </c>
      <c r="BJ52" s="211" t="n">
        <v>0</v>
      </c>
      <c r="BK52" s="211" t="n">
        <v>0</v>
      </c>
      <c r="BL52" s="211" t="n">
        <v>0</v>
      </c>
      <c r="BM52" s="211" t="n">
        <v>0</v>
      </c>
      <c r="BN52" s="215" t="n">
        <v>0</v>
      </c>
      <c r="BO52" s="215" t="n">
        <v>0</v>
      </c>
      <c r="BP52" s="215" t="n">
        <v>0</v>
      </c>
      <c r="BQ52" s="215" t="n">
        <v>0</v>
      </c>
    </row>
    <row r="53" ht="15.75" customHeight="1" thickBot="1">
      <c r="A53" s="63" t="inlineStr">
        <is>
          <t>https://open.spotify.com/playlist/3qS2CNg2WJfG57au8L9jG4</t>
        </is>
      </c>
      <c r="B53" s="34" t="inlineStr">
        <is>
          <t>MAIN CHARACTER Mashups 2026 🔥 – TikTok Trending Remixes</t>
        </is>
      </c>
      <c r="C53" s="34" t="inlineStr">
        <is>
          <t>3qS2CNg2WJfG57au8L9jG4</t>
        </is>
      </c>
      <c r="D53" s="53" t="n">
        <v>11</v>
      </c>
      <c r="E53" s="50" t="n">
        <v>0</v>
      </c>
      <c r="F53" s="50" t="n">
        <v>0</v>
      </c>
      <c r="G53" s="48" t="n">
        <v>0</v>
      </c>
      <c r="H53" s="48" t="n">
        <v>1</v>
      </c>
      <c r="I53" s="71" t="n">
        <v>0</v>
      </c>
      <c r="J53" s="74" t="n">
        <v>0</v>
      </c>
      <c r="K53" s="76" t="n">
        <v>0</v>
      </c>
      <c r="L53" s="79" t="n">
        <v>1</v>
      </c>
      <c r="M53" s="82" t="n">
        <v>2</v>
      </c>
      <c r="N53" s="86" t="n">
        <v>0</v>
      </c>
      <c r="O53" s="90" t="n">
        <v>0</v>
      </c>
      <c r="P53" s="93" t="n">
        <v>0</v>
      </c>
      <c r="Q53" s="96" t="n">
        <v>0</v>
      </c>
      <c r="R53" s="99" t="n">
        <v>2</v>
      </c>
      <c r="S53" s="102" t="n">
        <v>0</v>
      </c>
      <c r="T53" s="105" t="n">
        <v>0</v>
      </c>
      <c r="U53" s="107" t="n">
        <v>1</v>
      </c>
      <c r="V53" s="111" t="n">
        <v>0</v>
      </c>
      <c r="W53" s="114" t="n">
        <v>0</v>
      </c>
      <c r="X53" s="117" t="n">
        <v>0</v>
      </c>
      <c r="Y53" s="120" t="n">
        <v>0</v>
      </c>
      <c r="Z53" s="121" t="n">
        <v>2</v>
      </c>
      <c r="AA53" s="127" t="n">
        <v>0</v>
      </c>
      <c r="AB53" s="129" t="n">
        <v>1</v>
      </c>
      <c r="AC53" s="133" t="n">
        <v>0</v>
      </c>
      <c r="AD53" s="136" t="n">
        <v>0</v>
      </c>
      <c r="AE53" s="138" t="n">
        <v>0</v>
      </c>
      <c r="AF53" s="142" t="n">
        <v>0</v>
      </c>
      <c r="AN53" t="n">
        <v>0</v>
      </c>
      <c r="AO53" t="n">
        <v>0</v>
      </c>
    </row>
    <row r="54" ht="15.75" customHeight="1" thickBot="1">
      <c r="A54" s="63" t="inlineStr">
        <is>
          <t>https://open.spotify.com/playlist/1ctd74It4kIuf9iCjzn4LB</t>
        </is>
      </c>
      <c r="B54" s="34" t="inlineStr">
        <is>
          <t>WILD TikTok Mashups 2026 🔥 – Sped Up, Slow Reverb &amp; Viral Edits</t>
        </is>
      </c>
      <c r="C54" s="34" t="inlineStr">
        <is>
          <t>1ctd74It4kIuf9iCjzn4LB</t>
        </is>
      </c>
      <c r="D54" s="53" t="n">
        <v>30</v>
      </c>
      <c r="E54" s="50" t="n">
        <v>1</v>
      </c>
      <c r="F54" s="50" t="n">
        <v>0</v>
      </c>
      <c r="G54" s="48" t="n">
        <v>0</v>
      </c>
      <c r="H54" s="48" t="n">
        <v>0</v>
      </c>
      <c r="I54" s="71" t="n">
        <v>0</v>
      </c>
      <c r="J54" s="74" t="n">
        <v>0</v>
      </c>
      <c r="K54" s="76" t="n">
        <v>0</v>
      </c>
      <c r="L54" s="79" t="n">
        <v>1</v>
      </c>
      <c r="M54" s="82" t="n">
        <v>1</v>
      </c>
      <c r="N54" s="85" t="n">
        <v>1</v>
      </c>
      <c r="O54" s="90" t="n">
        <v>0</v>
      </c>
      <c r="P54" s="92" t="n">
        <v>1</v>
      </c>
      <c r="Q54" s="96" t="n">
        <v>0</v>
      </c>
      <c r="R54" s="98" t="n">
        <v>0</v>
      </c>
      <c r="S54" s="101" t="n">
        <v>2</v>
      </c>
      <c r="T54" s="104" t="n">
        <v>1</v>
      </c>
      <c r="U54" s="107" t="n">
        <v>2</v>
      </c>
      <c r="V54" s="110" t="n">
        <v>1</v>
      </c>
      <c r="W54" s="114" t="n">
        <v>0</v>
      </c>
      <c r="X54" s="116" t="n">
        <v>1</v>
      </c>
      <c r="Y54" s="119" t="n">
        <v>1</v>
      </c>
      <c r="Z54" s="123" t="n">
        <v>0</v>
      </c>
      <c r="AA54" s="127" t="n">
        <v>0</v>
      </c>
      <c r="AB54" s="129" t="n">
        <v>1</v>
      </c>
      <c r="AC54" s="132" t="n">
        <v>1</v>
      </c>
      <c r="AD54" s="135" t="n">
        <v>1</v>
      </c>
      <c r="AE54" s="138" t="n">
        <v>0</v>
      </c>
      <c r="AF54" s="142" t="n">
        <v>0</v>
      </c>
      <c r="AG54" s="144" t="n">
        <v>1</v>
      </c>
      <c r="AH54" s="147" t="n">
        <v>1</v>
      </c>
      <c r="AI54" s="151" t="n">
        <v>0</v>
      </c>
      <c r="AJ54" s="154" t="n">
        <v>0</v>
      </c>
      <c r="AK54" s="154" t="n">
        <v>0</v>
      </c>
      <c r="AL54" s="156" t="n">
        <v>0</v>
      </c>
      <c r="AM54" s="160" t="n">
        <v>0</v>
      </c>
      <c r="AN54" s="163" t="n">
        <v>0</v>
      </c>
      <c r="AO54" s="163" t="n">
        <v>0</v>
      </c>
      <c r="AP54" s="166" t="n">
        <v>0</v>
      </c>
      <c r="AQ54" s="169" t="n">
        <v>0</v>
      </c>
      <c r="AR54" s="171" t="n">
        <v>1</v>
      </c>
      <c r="AS54" s="175" t="n">
        <v>0</v>
      </c>
      <c r="AT54" s="177" t="n">
        <v>1</v>
      </c>
      <c r="AU54" s="178" t="n">
        <v>0</v>
      </c>
      <c r="AV54" s="180" t="n">
        <v>1</v>
      </c>
      <c r="AW54" s="183" t="n">
        <v>0</v>
      </c>
      <c r="AX54" s="183" t="n">
        <v>0</v>
      </c>
      <c r="AY54" s="186" t="n">
        <v>1</v>
      </c>
      <c r="AZ54" s="189" t="n">
        <v>0</v>
      </c>
      <c r="BA54" s="192" t="n">
        <v>0</v>
      </c>
      <c r="BB54" s="196" t="n">
        <v>0</v>
      </c>
      <c r="BC54" s="199" t="n">
        <v>0</v>
      </c>
      <c r="BD54" s="201" t="n">
        <v>1</v>
      </c>
      <c r="BE54" s="205" t="n">
        <v>0</v>
      </c>
      <c r="BF54" s="205" t="n">
        <v>0</v>
      </c>
      <c r="BG54" s="208" t="n">
        <v>0</v>
      </c>
      <c r="BH54" s="211" t="n">
        <v>0</v>
      </c>
      <c r="BI54" s="211" t="n">
        <v>0</v>
      </c>
      <c r="BJ54" s="211" t="n">
        <v>-1</v>
      </c>
      <c r="BK54" s="211" t="n">
        <v>0</v>
      </c>
      <c r="BL54" s="211" t="n">
        <v>0</v>
      </c>
      <c r="BM54" s="211" t="n">
        <v>0</v>
      </c>
      <c r="BN54" s="215" t="n">
        <v>0</v>
      </c>
      <c r="BO54" s="215" t="n">
        <v>0</v>
      </c>
      <c r="BP54" s="215" t="n">
        <v>0</v>
      </c>
      <c r="BQ54" s="215" t="n">
        <v>0</v>
      </c>
    </row>
    <row r="55" ht="15.75" customHeight="1" thickBot="1">
      <c r="A55" s="63" t="inlineStr">
        <is>
          <t>https://open.spotify.com/playlist/3C9xPNfyRXt66BV4r8tNNM</t>
        </is>
      </c>
      <c r="B55" s="34" t="inlineStr">
        <is>
          <t>GOATED Viral Mashups 2026 🔥 – FYP Remix &amp; Trending Sounds</t>
        </is>
      </c>
      <c r="C55" s="34" t="inlineStr">
        <is>
          <t>3C9xPNfyRXt66BV4r8tNNM</t>
        </is>
      </c>
      <c r="D55" s="53" t="n">
        <v>21</v>
      </c>
      <c r="E55" s="50" t="n">
        <v>1</v>
      </c>
      <c r="F55" s="50" t="n">
        <v>0</v>
      </c>
      <c r="G55" s="48" t="n">
        <v>0</v>
      </c>
      <c r="H55" s="48" t="n">
        <v>0</v>
      </c>
      <c r="I55" s="71" t="n">
        <v>0</v>
      </c>
      <c r="J55" s="73" t="n">
        <v>1</v>
      </c>
      <c r="K55" s="77" t="n">
        <v>1</v>
      </c>
      <c r="L55" s="79" t="n">
        <v>1</v>
      </c>
      <c r="M55" s="83" t="n">
        <v>0</v>
      </c>
      <c r="N55" s="86" t="n">
        <v>0</v>
      </c>
      <c r="O55" s="90" t="n">
        <v>0</v>
      </c>
      <c r="P55" s="93" t="n">
        <v>0</v>
      </c>
      <c r="Q55" s="96" t="n">
        <v>0</v>
      </c>
      <c r="R55" s="98" t="n">
        <v>0</v>
      </c>
      <c r="S55" s="102" t="n">
        <v>0</v>
      </c>
      <c r="T55" s="105" t="n">
        <v>0</v>
      </c>
      <c r="U55" s="107" t="n">
        <v>1</v>
      </c>
      <c r="V55" s="111" t="n">
        <v>0</v>
      </c>
      <c r="W55" s="114" t="n">
        <v>0</v>
      </c>
      <c r="X55" s="117" t="n">
        <v>0</v>
      </c>
      <c r="Y55" s="120" t="n">
        <v>0</v>
      </c>
      <c r="Z55" s="123" t="n">
        <v>0</v>
      </c>
      <c r="AA55" s="126" t="n">
        <v>1</v>
      </c>
      <c r="AB55" s="129" t="n">
        <v>2</v>
      </c>
      <c r="AC55" s="133" t="n">
        <v>0</v>
      </c>
      <c r="AD55" s="135" t="n">
        <v>1</v>
      </c>
      <c r="AE55" s="138" t="n">
        <v>0</v>
      </c>
      <c r="AF55" s="141" t="n">
        <v>1</v>
      </c>
      <c r="AG55" s="144" t="n">
        <v>1</v>
      </c>
      <c r="AH55" s="148" t="n">
        <v>0</v>
      </c>
      <c r="AI55" s="150" t="n">
        <v>1</v>
      </c>
      <c r="AJ55" s="152" t="n">
        <v>1</v>
      </c>
      <c r="AK55" s="152" t="n">
        <v>1</v>
      </c>
      <c r="AL55" s="156" t="n">
        <v>0</v>
      </c>
      <c r="AM55" s="160" t="n">
        <v>0</v>
      </c>
      <c r="AN55" s="162" t="n">
        <v>1</v>
      </c>
      <c r="AO55" s="162" t="n">
        <v>0</v>
      </c>
      <c r="AP55" s="166" t="n">
        <v>0</v>
      </c>
      <c r="AQ55" s="169" t="n">
        <v>0</v>
      </c>
      <c r="AR55" s="172" t="n">
        <v>0</v>
      </c>
      <c r="AS55" s="174" t="n">
        <v>2</v>
      </c>
      <c r="AT55" s="178" t="n">
        <v>0</v>
      </c>
      <c r="AU55" s="178" t="n">
        <v>0</v>
      </c>
      <c r="AV55" s="181" t="n">
        <v>0</v>
      </c>
      <c r="AW55" s="183" t="n">
        <v>0</v>
      </c>
      <c r="AX55" s="183" t="n">
        <v>0</v>
      </c>
      <c r="AY55" s="187" t="n">
        <v>0</v>
      </c>
      <c r="AZ55" s="189" t="n">
        <v>0</v>
      </c>
      <c r="BA55" s="192" t="n">
        <v>0</v>
      </c>
      <c r="BB55" s="196" t="n">
        <v>0</v>
      </c>
      <c r="BC55" s="199" t="n">
        <v>0</v>
      </c>
      <c r="BD55" s="201" t="n">
        <v>1</v>
      </c>
      <c r="BE55" s="205" t="n">
        <v>0</v>
      </c>
      <c r="BF55" s="205" t="n">
        <v>0</v>
      </c>
      <c r="BG55" s="208" t="n">
        <v>0</v>
      </c>
      <c r="BH55" s="210" t="n">
        <v>1</v>
      </c>
      <c r="BI55" s="211" t="n">
        <v>0</v>
      </c>
      <c r="BJ55" s="211" t="n">
        <v>-1</v>
      </c>
      <c r="BK55" s="211" t="n">
        <v>0</v>
      </c>
      <c r="BL55" s="211" t="n">
        <v>0</v>
      </c>
      <c r="BM55" s="211" t="n">
        <v>0</v>
      </c>
      <c r="BN55" s="215" t="n">
        <v>0</v>
      </c>
      <c r="BO55" s="215" t="n">
        <v>0</v>
      </c>
      <c r="BP55" s="215" t="n">
        <v>0</v>
      </c>
      <c r="BQ55" s="215" t="n">
        <v>0</v>
      </c>
    </row>
    <row r="56" ht="15.75" customHeight="1" thickBot="1">
      <c r="A56" s="63" t="inlineStr">
        <is>
          <t>https://open.spotify.com/playlist/0Gfr4xoaOvaDWPH9Gxp1s0</t>
        </is>
      </c>
      <c r="B56" s="34" t="inlineStr">
        <is>
          <t>WILD TikTok Viral Mashups 2026 🔥 – Trending Sounds &amp; Hype Remixes</t>
        </is>
      </c>
      <c r="C56" s="34" t="inlineStr">
        <is>
          <t>0Gfr4xoaOvaDWPH9Gxp1s0</t>
        </is>
      </c>
      <c r="D56" s="53" t="n">
        <v>10</v>
      </c>
      <c r="E56" s="50" t="n">
        <v>0</v>
      </c>
      <c r="F56" s="50" t="n">
        <v>0</v>
      </c>
      <c r="G56" s="48" t="n">
        <v>0</v>
      </c>
      <c r="H56" s="48" t="n">
        <v>0</v>
      </c>
      <c r="I56" s="71" t="n">
        <v>0</v>
      </c>
      <c r="J56" s="74" t="n">
        <v>0</v>
      </c>
      <c r="K56" s="76" t="n">
        <v>0</v>
      </c>
      <c r="L56" s="80" t="n">
        <v>0</v>
      </c>
      <c r="M56" s="83" t="n">
        <v>0</v>
      </c>
      <c r="N56" s="86" t="n">
        <v>0</v>
      </c>
      <c r="O56" s="90" t="n">
        <v>0</v>
      </c>
      <c r="P56" s="93" t="n">
        <v>0</v>
      </c>
      <c r="Q56" s="95" t="n">
        <v>1</v>
      </c>
      <c r="R56" s="99" t="n">
        <v>1</v>
      </c>
      <c r="S56" s="101" t="n">
        <v>1</v>
      </c>
      <c r="T56" s="104" t="n">
        <v>1</v>
      </c>
      <c r="U56" s="108" t="n">
        <v>0</v>
      </c>
      <c r="V56" s="110" t="n">
        <v>1</v>
      </c>
      <c r="W56" s="114" t="n">
        <v>0</v>
      </c>
      <c r="X56" s="117" t="n">
        <v>0</v>
      </c>
      <c r="Y56" s="120" t="n">
        <v>-1</v>
      </c>
      <c r="Z56" s="121" t="n">
        <v>1</v>
      </c>
      <c r="AA56" s="127" t="n">
        <v>0</v>
      </c>
      <c r="AB56" s="130" t="n">
        <v>0</v>
      </c>
      <c r="AC56" s="133" t="n">
        <v>0</v>
      </c>
      <c r="AD56" s="135" t="n">
        <v>1</v>
      </c>
      <c r="AE56" s="138" t="n">
        <v>0</v>
      </c>
      <c r="AF56" s="141" t="n">
        <v>1</v>
      </c>
      <c r="AN56" t="n">
        <v>0</v>
      </c>
      <c r="AO56" t="n">
        <v>0</v>
      </c>
    </row>
    <row r="57" ht="15.75" customHeight="1" thickBot="1">
      <c r="A57" s="63" t="inlineStr">
        <is>
          <t>https://open.spotify.com/playlist/7v5DJrB9p2BYdrlPDClEiu</t>
        </is>
      </c>
      <c r="B57" s="34" t="inlineStr">
        <is>
          <t>NEXT LEVEL Viral Mashups 2026 🔥 – FYP Remix &amp; Trending Sounds</t>
        </is>
      </c>
      <c r="C57" s="34" t="inlineStr">
        <is>
          <t>7v5DJrB9p2BYdrlPDClEiu</t>
        </is>
      </c>
      <c r="D57" s="53" t="n">
        <v>7</v>
      </c>
      <c r="E57" s="50" t="n">
        <v>0</v>
      </c>
      <c r="F57" s="50" t="n">
        <v>0</v>
      </c>
      <c r="G57" s="48" t="n">
        <v>0</v>
      </c>
      <c r="H57" s="48" t="n">
        <v>0</v>
      </c>
      <c r="I57" s="71" t="n">
        <v>0</v>
      </c>
      <c r="J57" s="74" t="n">
        <v>0</v>
      </c>
      <c r="K57" s="76" t="n">
        <v>0</v>
      </c>
      <c r="L57" s="79" t="n">
        <v>1</v>
      </c>
      <c r="M57" s="83" t="n">
        <v>0</v>
      </c>
      <c r="N57" s="85" t="n">
        <v>1</v>
      </c>
      <c r="O57" s="90" t="n">
        <v>0</v>
      </c>
      <c r="P57" s="93" t="n">
        <v>0</v>
      </c>
      <c r="Q57" s="95" t="n">
        <v>1</v>
      </c>
      <c r="R57" s="98" t="n">
        <v>0</v>
      </c>
      <c r="S57" s="101" t="n">
        <v>2</v>
      </c>
      <c r="T57" s="105" t="n">
        <v>0</v>
      </c>
      <c r="U57" s="108" t="n">
        <v>0</v>
      </c>
      <c r="V57" s="111" t="n">
        <v>0</v>
      </c>
      <c r="W57" s="114" t="n">
        <v>0</v>
      </c>
      <c r="X57" s="117" t="n">
        <v>0</v>
      </c>
      <c r="Y57" s="120" t="n">
        <v>0</v>
      </c>
      <c r="Z57" s="123" t="n">
        <v>0</v>
      </c>
      <c r="AA57" s="127" t="n">
        <v>0</v>
      </c>
      <c r="AB57" s="130" t="n">
        <v>0</v>
      </c>
      <c r="AC57" s="133" t="n">
        <v>0</v>
      </c>
      <c r="AD57" s="136" t="n">
        <v>0</v>
      </c>
      <c r="AE57" s="139" t="n">
        <v>1</v>
      </c>
      <c r="AF57" s="142" t="n">
        <v>0</v>
      </c>
      <c r="AN57" t="n">
        <v>0</v>
      </c>
      <c r="AO57" t="n">
        <v>0</v>
      </c>
    </row>
    <row r="58" ht="15.75" customHeight="1" thickBot="1">
      <c r="A58" s="64" t="inlineStr">
        <is>
          <t>https://open.spotify.com/playlist/4cshCFrDinD0sVSbXfUE1T</t>
        </is>
      </c>
      <c r="B58" s="46" t="inlineStr">
        <is>
          <t>UNREAL Mashup Songs 2026 🔥 – Viral Audio, Remix Drops &amp; Edit Mix</t>
        </is>
      </c>
      <c r="C58" s="34" t="inlineStr">
        <is>
          <t>4cshCFrDinD0sVSbXfUE1T</t>
        </is>
      </c>
      <c r="D58" s="53" t="n">
        <v>20</v>
      </c>
      <c r="E58" s="50" t="n">
        <v>0</v>
      </c>
      <c r="F58" s="50" t="n">
        <v>0</v>
      </c>
      <c r="G58" s="48" t="n">
        <v>1</v>
      </c>
      <c r="H58" s="48" t="n">
        <v>2</v>
      </c>
      <c r="I58" s="70" t="n">
        <v>1</v>
      </c>
      <c r="J58" s="74" t="n">
        <v>0</v>
      </c>
      <c r="K58" s="76" t="n">
        <v>0</v>
      </c>
      <c r="L58" s="80" t="n">
        <v>0</v>
      </c>
      <c r="M58" s="83" t="n">
        <v>0</v>
      </c>
      <c r="N58" s="85" t="n">
        <v>2</v>
      </c>
      <c r="O58" s="90" t="n">
        <v>0</v>
      </c>
      <c r="P58" s="92" t="n">
        <v>2</v>
      </c>
      <c r="Q58" s="96" t="n">
        <v>0</v>
      </c>
      <c r="R58" s="98" t="n">
        <v>-1</v>
      </c>
      <c r="S58" s="102" t="n">
        <v>0</v>
      </c>
      <c r="T58" s="105" t="n">
        <v>0</v>
      </c>
      <c r="U58" s="108" t="n">
        <v>0</v>
      </c>
      <c r="V58" s="111" t="n">
        <v>0</v>
      </c>
      <c r="W58" s="113" t="n">
        <v>3</v>
      </c>
      <c r="X58" s="117" t="n">
        <v>0</v>
      </c>
      <c r="Y58" s="120" t="n">
        <v>0</v>
      </c>
      <c r="Z58" s="121" t="n">
        <v>1</v>
      </c>
      <c r="AA58" s="127" t="n">
        <v>0</v>
      </c>
      <c r="AB58" s="130" t="n">
        <v>0</v>
      </c>
      <c r="AC58" s="133" t="n">
        <v>0</v>
      </c>
      <c r="AD58" s="135" t="n">
        <v>1</v>
      </c>
      <c r="AE58" s="138" t="n">
        <v>0</v>
      </c>
      <c r="AF58" s="142" t="n">
        <v>0</v>
      </c>
      <c r="AG58" s="145" t="n">
        <v>0</v>
      </c>
      <c r="AH58" s="148" t="n">
        <v>0</v>
      </c>
      <c r="AI58" s="151" t="n">
        <v>0</v>
      </c>
      <c r="AJ58" s="154" t="n">
        <v>0</v>
      </c>
      <c r="AK58" s="154" t="n">
        <v>0</v>
      </c>
      <c r="AL58" s="156" t="n">
        <v>0</v>
      </c>
      <c r="AM58" s="160" t="n">
        <v>0</v>
      </c>
      <c r="AN58" s="163" t="n">
        <v>-1</v>
      </c>
      <c r="AO58" s="163" t="n">
        <v>0</v>
      </c>
      <c r="AP58" s="166" t="n">
        <v>0</v>
      </c>
      <c r="AQ58" s="169" t="n">
        <v>0</v>
      </c>
      <c r="AR58" s="172" t="n">
        <v>0</v>
      </c>
      <c r="AS58" s="175" t="n">
        <v>0</v>
      </c>
      <c r="AT58" s="178" t="n">
        <v>0</v>
      </c>
      <c r="AU58" s="178" t="n">
        <v>0</v>
      </c>
      <c r="AV58" s="181" t="n">
        <v>0</v>
      </c>
      <c r="AW58" s="183" t="n">
        <v>-1</v>
      </c>
      <c r="AX58" s="183" t="n">
        <v>0</v>
      </c>
      <c r="AY58" s="187" t="n">
        <v>0</v>
      </c>
      <c r="AZ58" s="189" t="n">
        <v>0</v>
      </c>
      <c r="BA58" s="192" t="n">
        <v>0</v>
      </c>
      <c r="BB58" s="196" t="n">
        <v>0</v>
      </c>
      <c r="BC58" s="199" t="n">
        <v>0</v>
      </c>
      <c r="BD58" s="202" t="n">
        <v>0</v>
      </c>
      <c r="BE58" s="205" t="n">
        <v>0</v>
      </c>
      <c r="BF58" s="205" t="n">
        <v>0</v>
      </c>
      <c r="BG58" s="208" t="n">
        <v>0</v>
      </c>
      <c r="BH58" s="211" t="n">
        <v>0</v>
      </c>
      <c r="BI58" s="211" t="n">
        <v>0</v>
      </c>
      <c r="BJ58" s="211" t="n">
        <v>0</v>
      </c>
      <c r="BK58" s="211" t="n">
        <v>0</v>
      </c>
      <c r="BL58" s="211" t="n">
        <v>0</v>
      </c>
      <c r="BM58" s="211" t="n">
        <v>0</v>
      </c>
      <c r="BN58" s="215" t="n">
        <v>0</v>
      </c>
      <c r="BO58" s="215" t="n">
        <v>0</v>
      </c>
      <c r="BP58" s="215" t="n">
        <v>0</v>
      </c>
      <c r="BQ58" s="215" t="n">
        <v>0</v>
      </c>
    </row>
    <row r="59" ht="15.75" customHeight="1" thickBot="1">
      <c r="A59" s="64" t="inlineStr">
        <is>
          <t>https://open.spotify.com/playlist/5qrZ7Z77UfIOUeY6m9xmBF</t>
        </is>
      </c>
      <c r="B59" s="35" t="inlineStr">
        <is>
          <t>OBSESSIVE TikTok Mashups 2026 🔥 – Trending Reels Audio</t>
        </is>
      </c>
      <c r="C59" s="46" t="inlineStr">
        <is>
          <t>5qrZ7Z77UfIOUeY6m9xmBF</t>
        </is>
      </c>
      <c r="D59" s="53" t="n">
        <v>3</v>
      </c>
      <c r="E59" s="50" t="n">
        <v>0</v>
      </c>
      <c r="F59" s="50" t="n">
        <v>0</v>
      </c>
      <c r="G59" s="48" t="n">
        <v>0</v>
      </c>
      <c r="H59" s="48" t="n">
        <v>0</v>
      </c>
      <c r="I59" s="71" t="n">
        <v>0</v>
      </c>
      <c r="J59" s="74" t="n">
        <v>0</v>
      </c>
      <c r="K59" s="76" t="n">
        <v>0</v>
      </c>
      <c r="L59" s="79" t="n">
        <v>1</v>
      </c>
      <c r="M59" s="83" t="n">
        <v>0</v>
      </c>
      <c r="N59" s="86" t="n">
        <v>0</v>
      </c>
      <c r="O59" s="90" t="n">
        <v>0</v>
      </c>
      <c r="P59" s="92" t="n">
        <v>1</v>
      </c>
      <c r="Q59" s="96" t="n">
        <v>0</v>
      </c>
      <c r="R59" s="98" t="n">
        <v>0</v>
      </c>
      <c r="S59" s="102" t="n">
        <v>0</v>
      </c>
      <c r="T59" s="104" t="n">
        <v>1</v>
      </c>
      <c r="U59" s="108" t="n">
        <v>0</v>
      </c>
      <c r="V59" s="111" t="n">
        <v>0</v>
      </c>
      <c r="W59" s="114" t="n">
        <v>0</v>
      </c>
      <c r="X59" s="117" t="n">
        <v>0</v>
      </c>
      <c r="Y59" s="120" t="n">
        <v>0</v>
      </c>
      <c r="Z59" s="123" t="n">
        <v>0</v>
      </c>
      <c r="AA59" s="127" t="n">
        <v>0</v>
      </c>
      <c r="AB59" s="130" t="n">
        <v>0</v>
      </c>
      <c r="AC59" s="133" t="n">
        <v>0</v>
      </c>
      <c r="AD59" s="136" t="n">
        <v>0</v>
      </c>
      <c r="AE59" s="138" t="n">
        <v>0</v>
      </c>
      <c r="AF59" s="142" t="n">
        <v>0</v>
      </c>
      <c r="AN59" t="n">
        <v>0</v>
      </c>
      <c r="AO59" t="n">
        <v>0</v>
      </c>
    </row>
    <row r="60" ht="15.75" customHeight="1" thickBot="1">
      <c r="A60" s="64" t="inlineStr">
        <is>
          <t>https://open.spotify.com/playlist/7BUzZUF8FUNV0hkaj5RkFI</t>
        </is>
      </c>
      <c r="B60" s="35" t="inlineStr">
        <is>
          <t>INSANE Viral Mashups 2026 🔥 – TikTok Trending Sounds &amp; Remixes</t>
        </is>
      </c>
      <c r="C60" s="35" t="inlineStr">
        <is>
          <t>7BUzZUF8FUNV0hkaj5RkFI</t>
        </is>
      </c>
      <c r="D60" s="53" t="n">
        <v>13</v>
      </c>
      <c r="E60" s="50" t="n">
        <v>0</v>
      </c>
      <c r="F60" s="50" t="n">
        <v>0</v>
      </c>
      <c r="G60" s="48" t="n">
        <v>1</v>
      </c>
      <c r="H60" s="48" t="n">
        <v>0</v>
      </c>
      <c r="I60" s="70" t="n">
        <v>1</v>
      </c>
      <c r="J60" s="74" t="n">
        <v>0</v>
      </c>
      <c r="K60" s="76" t="n">
        <v>0</v>
      </c>
      <c r="L60" s="79" t="n">
        <v>3</v>
      </c>
      <c r="M60" s="83" t="n">
        <v>0</v>
      </c>
      <c r="N60" s="85" t="n">
        <v>1</v>
      </c>
      <c r="O60" s="89" t="n">
        <v>1</v>
      </c>
      <c r="P60" s="93" t="n">
        <v>0</v>
      </c>
      <c r="Q60" s="96" t="n">
        <v>0</v>
      </c>
      <c r="R60" s="98" t="n">
        <v>0</v>
      </c>
      <c r="S60" s="102" t="n">
        <v>0</v>
      </c>
      <c r="T60" s="105" t="n">
        <v>0</v>
      </c>
      <c r="U60" s="108" t="n">
        <v>-1</v>
      </c>
      <c r="V60" s="111" t="n">
        <v>0</v>
      </c>
      <c r="W60" s="114" t="n">
        <v>0</v>
      </c>
      <c r="X60" s="117" t="n">
        <v>0</v>
      </c>
      <c r="Y60" s="120" t="n">
        <v>0</v>
      </c>
      <c r="Z60" s="123" t="n">
        <v>0</v>
      </c>
      <c r="AA60" s="127" t="n">
        <v>0</v>
      </c>
      <c r="AB60" s="129" t="n">
        <v>2</v>
      </c>
      <c r="AC60" s="133" t="n">
        <v>0</v>
      </c>
      <c r="AD60" s="136" t="n">
        <v>0</v>
      </c>
      <c r="AE60" s="138" t="n">
        <v>0</v>
      </c>
      <c r="AF60" s="142" t="n">
        <v>0</v>
      </c>
      <c r="AN60" t="n">
        <v>0</v>
      </c>
      <c r="AO60" t="n">
        <v>0</v>
      </c>
    </row>
    <row r="61" ht="15.75" customHeight="1" thickBot="1">
      <c r="A61" s="64" t="inlineStr">
        <is>
          <t>https://open.spotify.com/playlist/2b6B54oIPdae1Y4gZyDmat</t>
        </is>
      </c>
      <c r="B61" s="35" t="inlineStr">
        <is>
          <t>LEGENDARY Mashup Songs 2026 🔥 – Viral Remix Compilation &amp; Transitions</t>
        </is>
      </c>
      <c r="C61" s="35" t="inlineStr">
        <is>
          <t>2b6B54oIPdae1Y4gZyDmat</t>
        </is>
      </c>
      <c r="D61" s="53" t="n">
        <v>28</v>
      </c>
      <c r="E61" s="50" t="n">
        <v>0</v>
      </c>
      <c r="F61" s="50" t="n">
        <v>1</v>
      </c>
      <c r="G61" s="48" t="n">
        <v>0</v>
      </c>
      <c r="H61" s="48" t="n">
        <v>1</v>
      </c>
      <c r="I61" s="71" t="n">
        <v>0</v>
      </c>
      <c r="J61" s="74" t="n">
        <v>0</v>
      </c>
      <c r="K61" s="76" t="n">
        <v>0</v>
      </c>
      <c r="L61" s="79" t="n">
        <v>1</v>
      </c>
      <c r="M61" s="83" t="n">
        <v>0</v>
      </c>
      <c r="N61" s="85" t="n">
        <v>1</v>
      </c>
      <c r="O61" s="90" t="n">
        <v>0</v>
      </c>
      <c r="P61" s="93" t="n">
        <v>0</v>
      </c>
      <c r="Q61" s="96" t="n">
        <v>0</v>
      </c>
      <c r="R61" s="98" t="n">
        <v>0</v>
      </c>
      <c r="S61" s="102" t="n">
        <v>0</v>
      </c>
      <c r="T61" s="105" t="n">
        <v>0</v>
      </c>
      <c r="U61" s="107" t="n">
        <v>3</v>
      </c>
      <c r="V61" s="111" t="n">
        <v>0</v>
      </c>
      <c r="W61" s="114" t="n">
        <v>0</v>
      </c>
      <c r="X61" s="117" t="n">
        <v>0</v>
      </c>
      <c r="Y61" s="120" t="n">
        <v>0</v>
      </c>
      <c r="Z61" s="123" t="n">
        <v>0</v>
      </c>
      <c r="AA61" s="127" t="n">
        <v>0</v>
      </c>
      <c r="AB61" s="130" t="n">
        <v>0</v>
      </c>
      <c r="AC61" s="133" t="n">
        <v>0</v>
      </c>
      <c r="AD61" s="135" t="n">
        <v>1</v>
      </c>
      <c r="AE61" s="139" t="n">
        <v>1</v>
      </c>
      <c r="AF61" s="142" t="n">
        <v>0</v>
      </c>
      <c r="AG61" s="145" t="n">
        <v>0</v>
      </c>
      <c r="AH61" s="148" t="n">
        <v>0</v>
      </c>
      <c r="AI61" s="151" t="n">
        <v>0</v>
      </c>
      <c r="AJ61" s="152" t="n">
        <v>2</v>
      </c>
      <c r="AK61" s="154" t="n">
        <v>0</v>
      </c>
      <c r="AL61" s="156" t="n">
        <v>0</v>
      </c>
      <c r="AM61" s="160" t="n">
        <v>0</v>
      </c>
      <c r="AN61" s="163" t="n">
        <v>0</v>
      </c>
      <c r="AO61" s="163" t="n">
        <v>0</v>
      </c>
      <c r="AP61" s="166" t="n">
        <v>0</v>
      </c>
      <c r="AQ61" s="168" t="n">
        <v>1</v>
      </c>
      <c r="AR61" s="172" t="n">
        <v>0</v>
      </c>
      <c r="AS61" s="175" t="n">
        <v>0</v>
      </c>
      <c r="AT61" s="178" t="n">
        <v>0</v>
      </c>
      <c r="AU61" s="177" t="n">
        <v>1</v>
      </c>
      <c r="AV61" s="181" t="n">
        <v>0</v>
      </c>
      <c r="AW61" s="183" t="n">
        <v>0</v>
      </c>
      <c r="AX61" s="183" t="n">
        <v>0</v>
      </c>
      <c r="AY61" s="187" t="n">
        <v>0</v>
      </c>
      <c r="AZ61" s="189" t="n">
        <v>0</v>
      </c>
      <c r="BA61" s="191" t="n">
        <v>1</v>
      </c>
      <c r="BB61" s="196" t="n">
        <v>0</v>
      </c>
      <c r="BC61" s="199" t="n">
        <v>0</v>
      </c>
      <c r="BD61" s="202" t="n">
        <v>0</v>
      </c>
      <c r="BE61" s="205" t="n">
        <v>0</v>
      </c>
      <c r="BF61" s="205" t="n">
        <v>0</v>
      </c>
      <c r="BG61" s="208" t="n">
        <v>0</v>
      </c>
      <c r="BH61" s="211" t="n">
        <v>0</v>
      </c>
      <c r="BI61" s="211" t="n">
        <v>0</v>
      </c>
      <c r="BJ61" s="211" t="n">
        <v>0</v>
      </c>
      <c r="BK61" s="211" t="n">
        <v>0</v>
      </c>
      <c r="BL61" s="211" t="n">
        <v>0</v>
      </c>
      <c r="BM61" s="211" t="n">
        <v>0</v>
      </c>
      <c r="BN61" s="215" t="n">
        <v>0</v>
      </c>
      <c r="BO61" s="215" t="n">
        <v>0</v>
      </c>
      <c r="BP61" s="215" t="n">
        <v>0</v>
      </c>
      <c r="BQ61" s="215" t="n">
        <v>0</v>
      </c>
    </row>
    <row r="62" ht="15.75" customHeight="1" thickBot="1">
      <c r="A62" s="64" t="inlineStr">
        <is>
          <t>https://open.spotify.com/playlist/1VvyQrMfqRNx2Ooiop0Xp5</t>
        </is>
      </c>
      <c r="B62" s="35" t="inlineStr">
        <is>
          <t>LENDÁRIAS Mashup Songs 2026 🔥 – Compilação de Remixes Virais &amp; Transições</t>
        </is>
      </c>
      <c r="C62" s="35" t="inlineStr">
        <is>
          <t>1VvyQrMfqRNx2Ooiop0Xp5</t>
        </is>
      </c>
      <c r="D62" s="53" t="n">
        <v>31</v>
      </c>
      <c r="E62" s="50" t="n">
        <v>0</v>
      </c>
      <c r="F62" s="50" t="n">
        <v>0</v>
      </c>
      <c r="G62" s="48" t="n">
        <v>0</v>
      </c>
      <c r="H62" s="48" t="n">
        <v>0</v>
      </c>
      <c r="I62" s="71" t="n">
        <v>0</v>
      </c>
      <c r="J62" s="73" t="n">
        <v>1</v>
      </c>
      <c r="K62" s="76" t="n">
        <v>0</v>
      </c>
      <c r="L62" s="79" t="n">
        <v>1</v>
      </c>
      <c r="M62" s="83" t="n">
        <v>0</v>
      </c>
      <c r="N62" s="85" t="n">
        <v>1</v>
      </c>
      <c r="O62" s="90" t="n">
        <v>0</v>
      </c>
      <c r="P62" s="93" t="n">
        <v>0</v>
      </c>
      <c r="Q62" s="96" t="n">
        <v>0</v>
      </c>
      <c r="R62" s="99" t="n">
        <v>1</v>
      </c>
      <c r="S62" s="102" t="n">
        <v>0</v>
      </c>
      <c r="T62" s="105" t="n">
        <v>0</v>
      </c>
      <c r="U62" s="107" t="n">
        <v>2</v>
      </c>
      <c r="V62" s="111" t="n">
        <v>-1</v>
      </c>
      <c r="W62" s="113" t="n">
        <v>1</v>
      </c>
      <c r="X62" s="117" t="n">
        <v>0</v>
      </c>
      <c r="Y62" s="120" t="n">
        <v>0</v>
      </c>
      <c r="Z62" s="123" t="n">
        <v>0</v>
      </c>
      <c r="AA62" s="126" t="n">
        <v>1</v>
      </c>
      <c r="AB62" s="129" t="n">
        <v>1</v>
      </c>
      <c r="AC62" s="133" t="n">
        <v>0</v>
      </c>
      <c r="AD62" s="136" t="n">
        <v>0</v>
      </c>
      <c r="AE62" s="139" t="n">
        <v>1</v>
      </c>
      <c r="AF62" s="142" t="n">
        <v>0</v>
      </c>
      <c r="AG62" s="145" t="n">
        <v>0</v>
      </c>
      <c r="AH62" s="148" t="n">
        <v>0</v>
      </c>
      <c r="AI62" s="150" t="n">
        <v>1</v>
      </c>
      <c r="AJ62" s="154" t="n">
        <v>0</v>
      </c>
      <c r="AK62" s="154" t="n">
        <v>0</v>
      </c>
      <c r="AL62" s="156" t="n">
        <v>0</v>
      </c>
      <c r="AM62" s="160" t="n">
        <v>0</v>
      </c>
      <c r="AN62" s="163" t="n">
        <v>0</v>
      </c>
      <c r="AO62" s="163" t="n">
        <v>0</v>
      </c>
      <c r="AP62" s="166" t="n">
        <v>0</v>
      </c>
      <c r="AQ62" s="169" t="n">
        <v>0</v>
      </c>
      <c r="AR62" s="172" t="n">
        <v>0</v>
      </c>
      <c r="AS62" s="175" t="n">
        <v>0</v>
      </c>
      <c r="AT62" s="178" t="n">
        <v>0</v>
      </c>
      <c r="AU62" s="177" t="n">
        <v>1</v>
      </c>
      <c r="AV62" s="180" t="n">
        <v>1</v>
      </c>
      <c r="AW62" s="183" t="n">
        <v>0</v>
      </c>
      <c r="AX62" s="183" t="n">
        <v>0</v>
      </c>
      <c r="AY62" s="187" t="n">
        <v>0</v>
      </c>
      <c r="AZ62" s="189" t="n">
        <v>0</v>
      </c>
      <c r="BA62" s="192" t="n">
        <v>0</v>
      </c>
      <c r="BB62" s="196" t="n">
        <v>0</v>
      </c>
      <c r="BC62" s="199" t="n">
        <v>0</v>
      </c>
      <c r="BD62" s="202" t="n">
        <v>0</v>
      </c>
      <c r="BE62" s="205" t="n">
        <v>0</v>
      </c>
      <c r="BF62" s="205" t="n">
        <v>0</v>
      </c>
      <c r="BG62" s="208" t="n">
        <v>0</v>
      </c>
      <c r="BH62" s="211" t="n">
        <v>0</v>
      </c>
      <c r="BI62" s="211" t="n">
        <v>-1</v>
      </c>
      <c r="BJ62" s="211" t="n">
        <v>0</v>
      </c>
      <c r="BK62" s="211" t="n">
        <v>0</v>
      </c>
      <c r="BL62" s="211" t="n">
        <v>0</v>
      </c>
      <c r="BM62" s="211" t="n">
        <v>0</v>
      </c>
      <c r="BN62" s="215" t="n">
        <v>0</v>
      </c>
      <c r="BO62" s="215" t="n">
        <v>-1</v>
      </c>
      <c r="BP62" s="215" t="n">
        <v>0</v>
      </c>
      <c r="BQ62" s="215" t="n">
        <v>0</v>
      </c>
    </row>
    <row r="63" ht="15.75" customHeight="1" thickBot="1">
      <c r="A63" s="64" t="inlineStr">
        <is>
          <t>https://open.spotify.com/playlist/6i5S2ZyIkG2o295NMTAwKs</t>
        </is>
      </c>
      <c r="B63" s="35" t="inlineStr">
        <is>
          <t>LEGENDARY Trending Mashups 2026 🔥 – Edit Culture &amp; Viral Transitions</t>
        </is>
      </c>
      <c r="C63" s="35" t="inlineStr">
        <is>
          <t>6i5S2ZyIkG2o295NMTAwKs</t>
        </is>
      </c>
      <c r="D63" s="53" t="n">
        <v>18</v>
      </c>
      <c r="E63" s="50" t="n">
        <v>0</v>
      </c>
      <c r="F63" s="50" t="n">
        <v>0</v>
      </c>
      <c r="G63" s="48" t="n">
        <v>1</v>
      </c>
      <c r="H63" s="48" t="n">
        <v>0</v>
      </c>
      <c r="I63" s="71" t="n">
        <v>0</v>
      </c>
      <c r="J63" s="74" t="n">
        <v>0</v>
      </c>
      <c r="K63" s="76" t="n">
        <v>0</v>
      </c>
      <c r="L63" s="80" t="n">
        <v>0</v>
      </c>
      <c r="M63" s="83" t="n">
        <v>0</v>
      </c>
      <c r="N63" s="86" t="n">
        <v>0</v>
      </c>
      <c r="O63" s="90" t="n">
        <v>0</v>
      </c>
      <c r="P63" s="93" t="n">
        <v>0</v>
      </c>
      <c r="Q63" s="96" t="n">
        <v>0</v>
      </c>
      <c r="R63" s="99" t="n">
        <v>1</v>
      </c>
      <c r="S63" s="101" t="n">
        <v>1</v>
      </c>
      <c r="T63" s="105" t="n">
        <v>0</v>
      </c>
      <c r="U63" s="108" t="n">
        <v>0</v>
      </c>
      <c r="V63" s="111" t="n">
        <v>0</v>
      </c>
      <c r="W63" s="114" t="n">
        <v>0</v>
      </c>
      <c r="X63" s="117" t="n">
        <v>0</v>
      </c>
      <c r="Y63" s="120" t="n">
        <v>0</v>
      </c>
      <c r="Z63" s="121" t="n">
        <v>1</v>
      </c>
      <c r="AA63" s="127" t="n">
        <v>0</v>
      </c>
      <c r="AB63" s="130" t="n">
        <v>0</v>
      </c>
      <c r="AC63" s="133" t="n">
        <v>0</v>
      </c>
      <c r="AD63" s="136" t="n">
        <v>0</v>
      </c>
      <c r="AE63" s="138" t="n">
        <v>0</v>
      </c>
      <c r="AF63" s="142" t="n">
        <v>0</v>
      </c>
      <c r="AG63" s="145" t="n">
        <v>0</v>
      </c>
      <c r="AN63" t="n">
        <v>0</v>
      </c>
      <c r="AO63" t="n">
        <v>0</v>
      </c>
    </row>
    <row r="64" ht="15.75" customHeight="1" thickBot="1">
      <c r="A64" s="64" t="inlineStr">
        <is>
          <t>https://open.spotify.com/playlist/3MdkigzmzXkDjXyGt4hMFN</t>
        </is>
      </c>
      <c r="B64" s="35" t="inlineStr">
        <is>
          <t>UNHINGED Viral Mashups 2026 🔥 – TikTok &amp; Instagram Trending Audio</t>
        </is>
      </c>
      <c r="C64" s="35" t="inlineStr">
        <is>
          <t>3MdkigzmzXkDjXyGt4hMFN</t>
        </is>
      </c>
      <c r="D64" s="53" t="n">
        <v>22</v>
      </c>
      <c r="E64" s="50" t="n">
        <v>0</v>
      </c>
      <c r="F64" s="50" t="n">
        <v>0</v>
      </c>
      <c r="G64" s="48" t="n">
        <v>0</v>
      </c>
      <c r="H64" s="48" t="n">
        <v>0</v>
      </c>
      <c r="I64" s="71" t="n">
        <v>0</v>
      </c>
      <c r="J64" s="74" t="n">
        <v>0</v>
      </c>
      <c r="K64" s="77" t="n">
        <v>1</v>
      </c>
      <c r="L64" s="79" t="n">
        <v>1</v>
      </c>
      <c r="M64" s="83" t="n">
        <v>0</v>
      </c>
      <c r="N64" s="86" t="n">
        <v>0</v>
      </c>
      <c r="O64" s="89" t="n">
        <v>1</v>
      </c>
      <c r="P64" s="92" t="n">
        <v>1</v>
      </c>
      <c r="Q64" s="96" t="n">
        <v>0</v>
      </c>
      <c r="R64" s="98" t="n">
        <v>0</v>
      </c>
      <c r="S64" s="102" t="n">
        <v>0</v>
      </c>
      <c r="T64" s="105" t="n">
        <v>0</v>
      </c>
      <c r="U64" s="107" t="n">
        <v>1</v>
      </c>
      <c r="V64" s="111" t="n">
        <v>0</v>
      </c>
      <c r="W64" s="114" t="n">
        <v>0</v>
      </c>
      <c r="X64" s="116" t="n">
        <v>1</v>
      </c>
      <c r="Y64" s="119" t="n">
        <v>1</v>
      </c>
      <c r="Z64" s="121" t="n">
        <v>2</v>
      </c>
      <c r="AA64" s="127" t="n">
        <v>0</v>
      </c>
      <c r="AB64" s="130" t="n">
        <v>0</v>
      </c>
      <c r="AC64" s="133" t="n">
        <v>0</v>
      </c>
      <c r="AD64" s="136" t="n">
        <v>0</v>
      </c>
      <c r="AE64" s="139" t="n">
        <v>1</v>
      </c>
      <c r="AF64" s="142" t="n">
        <v>0</v>
      </c>
      <c r="AG64" s="144" t="n">
        <v>1</v>
      </c>
      <c r="AH64" s="147" t="n">
        <v>1</v>
      </c>
      <c r="AI64" s="151" t="n">
        <v>0</v>
      </c>
      <c r="AJ64" s="154" t="n">
        <v>0</v>
      </c>
      <c r="AK64" s="154" t="n">
        <v>0</v>
      </c>
      <c r="AL64" s="157" t="n">
        <v>1</v>
      </c>
      <c r="AM64" s="160" t="n">
        <v>0</v>
      </c>
      <c r="AN64" s="163" t="n">
        <v>0</v>
      </c>
      <c r="AO64" s="163" t="n">
        <v>0</v>
      </c>
      <c r="AP64" s="166" t="n">
        <v>0</v>
      </c>
      <c r="AQ64" s="169" t="n">
        <v>0</v>
      </c>
      <c r="AR64" s="172" t="n">
        <v>0</v>
      </c>
      <c r="AS64" s="174" t="n">
        <v>1</v>
      </c>
      <c r="AT64" s="178" t="n">
        <v>0</v>
      </c>
      <c r="AU64" s="178" t="n">
        <v>0</v>
      </c>
      <c r="AV64" s="181" t="n">
        <v>0</v>
      </c>
      <c r="AW64" s="183" t="n">
        <v>0</v>
      </c>
      <c r="AX64" s="183" t="n">
        <v>0</v>
      </c>
      <c r="AY64" s="187" t="n">
        <v>0</v>
      </c>
      <c r="AZ64" s="189" t="n">
        <v>0</v>
      </c>
      <c r="BA64" s="191" t="n">
        <v>1</v>
      </c>
      <c r="BB64" s="194" t="n">
        <v>1</v>
      </c>
      <c r="BC64" s="199" t="n">
        <v>0</v>
      </c>
      <c r="BD64" s="202" t="n">
        <v>0</v>
      </c>
      <c r="BE64" s="205" t="n">
        <v>0</v>
      </c>
      <c r="BF64" s="205" t="n">
        <v>0</v>
      </c>
      <c r="BG64" s="208" t="n">
        <v>0</v>
      </c>
      <c r="BH64" s="211" t="n">
        <v>0</v>
      </c>
      <c r="BI64" s="210" t="n">
        <v>1</v>
      </c>
      <c r="BJ64" s="211" t="n">
        <v>0</v>
      </c>
      <c r="BK64" s="211" t="n">
        <v>0</v>
      </c>
      <c r="BL64" s="210" t="n">
        <v>1</v>
      </c>
      <c r="BM64" s="211" t="n">
        <v>0</v>
      </c>
      <c r="BN64" s="215" t="n">
        <v>0</v>
      </c>
      <c r="BO64" s="215" t="n">
        <v>0</v>
      </c>
      <c r="BP64" s="215" t="n">
        <v>0</v>
      </c>
      <c r="BQ64" s="215" t="n">
        <v>0</v>
      </c>
    </row>
    <row r="65" ht="15.75" customHeight="1" thickBot="1">
      <c r="A65" s="65" t="inlineStr">
        <is>
          <t>https://open.spotify.com/playlist/1GrBnYINbwxmOsa1uAAqpM</t>
        </is>
      </c>
      <c r="B65" s="36" t="inlineStr">
        <is>
          <t>SAVAGE Trending Mashup Transitions 2026 🔥 – Beat Drops &amp; Viral Edits</t>
        </is>
      </c>
      <c r="C65" s="35" t="inlineStr">
        <is>
          <t>1GrBnYINbwxmOsa1uAAqpM</t>
        </is>
      </c>
      <c r="D65" s="53" t="n">
        <v>16</v>
      </c>
      <c r="E65" s="50" t="n">
        <v>0</v>
      </c>
      <c r="F65" s="50" t="n">
        <v>0</v>
      </c>
      <c r="G65" s="48" t="n">
        <v>0</v>
      </c>
      <c r="H65" s="48" t="n">
        <v>1</v>
      </c>
      <c r="I65" s="70" t="n">
        <v>1</v>
      </c>
      <c r="J65" s="73" t="n">
        <v>2</v>
      </c>
      <c r="K65" s="76" t="n">
        <v>0</v>
      </c>
      <c r="L65" s="80" t="n">
        <v>0</v>
      </c>
      <c r="M65" s="83" t="n">
        <v>0</v>
      </c>
      <c r="N65" s="86" t="n">
        <v>0</v>
      </c>
      <c r="O65" s="90" t="n">
        <v>0</v>
      </c>
      <c r="P65" s="93" t="n">
        <v>0</v>
      </c>
      <c r="Q65" s="96" t="n">
        <v>0</v>
      </c>
      <c r="R65" s="98" t="n">
        <v>0</v>
      </c>
      <c r="S65" s="101" t="n">
        <v>1</v>
      </c>
      <c r="T65" s="104" t="n">
        <v>2</v>
      </c>
      <c r="U65" s="108" t="n">
        <v>0</v>
      </c>
      <c r="V65" s="111" t="n">
        <v>0</v>
      </c>
      <c r="W65" s="114" t="n">
        <v>0</v>
      </c>
      <c r="X65" s="116" t="n">
        <v>1</v>
      </c>
      <c r="Y65" s="120" t="n">
        <v>0</v>
      </c>
      <c r="Z65" s="123" t="n">
        <v>0</v>
      </c>
      <c r="AA65" s="126" t="n">
        <v>1</v>
      </c>
      <c r="AB65" s="130" t="n">
        <v>0</v>
      </c>
      <c r="AC65" s="133" t="n">
        <v>0</v>
      </c>
      <c r="AD65" s="136" t="n">
        <v>0</v>
      </c>
      <c r="AE65" s="138" t="n">
        <v>0</v>
      </c>
      <c r="AF65" s="142" t="n">
        <v>0</v>
      </c>
      <c r="AN65" t="n">
        <v>0</v>
      </c>
      <c r="AO65" t="n">
        <v>0</v>
      </c>
    </row>
    <row r="66" ht="15.75" customHeight="1" thickBot="1">
      <c r="A66" s="65" t="inlineStr">
        <is>
          <t>https://open.spotify.com/playlist/119xrATmgvxcimsNIadGtj</t>
        </is>
      </c>
      <c r="B66" s="36" t="inlineStr">
        <is>
          <t>Mashup CORE Hits 2026 🔥 – Viral Social Media Sounds</t>
        </is>
      </c>
      <c r="C66" s="36" t="inlineStr">
        <is>
          <t>119xrATmgvxcimsNIadGtj</t>
        </is>
      </c>
      <c r="D66" s="53" t="n">
        <v>12</v>
      </c>
      <c r="E66" s="50" t="n">
        <v>1</v>
      </c>
      <c r="F66" s="50" t="n">
        <v>2</v>
      </c>
      <c r="G66" s="48" t="n">
        <v>0</v>
      </c>
      <c r="H66" s="48" t="n">
        <v>0</v>
      </c>
      <c r="I66" s="71" t="n">
        <v>0</v>
      </c>
      <c r="J66" s="74" t="n">
        <v>0</v>
      </c>
      <c r="K66" s="76" t="n">
        <v>0</v>
      </c>
      <c r="L66" s="80" t="n">
        <v>0</v>
      </c>
      <c r="M66" s="83" t="n">
        <v>0</v>
      </c>
      <c r="N66" s="86" t="n">
        <v>0</v>
      </c>
      <c r="O66" s="90" t="n">
        <v>0</v>
      </c>
      <c r="P66" s="93" t="n">
        <v>0</v>
      </c>
      <c r="Q66" s="96" t="n">
        <v>0</v>
      </c>
      <c r="R66" s="98" t="n">
        <v>0</v>
      </c>
      <c r="S66" s="102" t="n">
        <v>0</v>
      </c>
      <c r="T66" s="105" t="n">
        <v>0</v>
      </c>
      <c r="U66" s="108" t="n">
        <v>0</v>
      </c>
      <c r="V66" s="111" t="n">
        <v>0</v>
      </c>
      <c r="W66" s="114" t="n">
        <v>0</v>
      </c>
      <c r="X66" s="117" t="n">
        <v>0</v>
      </c>
      <c r="Y66" s="120" t="n">
        <v>0</v>
      </c>
      <c r="Z66" s="123" t="n">
        <v>0</v>
      </c>
      <c r="AA66" s="127" t="n">
        <v>0</v>
      </c>
      <c r="AB66" s="130" t="n">
        <v>0</v>
      </c>
      <c r="AC66" s="133" t="n">
        <v>0</v>
      </c>
      <c r="AD66" s="136" t="n">
        <v>0</v>
      </c>
      <c r="AE66" s="138" t="n">
        <v>0</v>
      </c>
      <c r="AF66" s="142" t="n">
        <v>0</v>
      </c>
      <c r="AN66" t="n">
        <v>0</v>
      </c>
      <c r="AO66" t="n">
        <v>0</v>
      </c>
    </row>
    <row r="67" ht="15.75" customHeight="1" thickBot="1">
      <c r="A67" s="66" t="inlineStr">
        <is>
          <t>https://open.spotify.com/playlist/24rb8g7ZjKOrJH3MQfaC3O</t>
        </is>
      </c>
      <c r="B67" s="36" t="inlineStr">
        <is>
          <t>TRENDING TikTok Mashups 2026 🔥 – Viral Transitions &amp; Party Edits</t>
        </is>
      </c>
      <c r="C67" s="36" t="inlineStr">
        <is>
          <t>24rb8g7ZjKOrJH3MQfaC3O</t>
        </is>
      </c>
      <c r="D67" s="53" t="n">
        <v>60</v>
      </c>
      <c r="E67" s="50" t="n">
        <v>1</v>
      </c>
      <c r="F67" s="50" t="n">
        <v>2</v>
      </c>
      <c r="G67" s="48" t="n">
        <v>4</v>
      </c>
      <c r="H67" s="48" t="n">
        <v>0</v>
      </c>
      <c r="I67" s="71" t="n">
        <v>0</v>
      </c>
      <c r="J67" s="73" t="n">
        <v>1</v>
      </c>
      <c r="K67" s="77" t="n">
        <v>3</v>
      </c>
      <c r="L67" s="79" t="n">
        <v>2</v>
      </c>
      <c r="M67" s="83" t="n">
        <v>0</v>
      </c>
      <c r="N67" s="85" t="n">
        <v>2</v>
      </c>
      <c r="O67" s="90" t="n">
        <v>0</v>
      </c>
      <c r="P67" s="92" t="n">
        <v>1</v>
      </c>
      <c r="Q67" s="95" t="n">
        <v>1</v>
      </c>
      <c r="R67" s="99" t="n">
        <v>2</v>
      </c>
      <c r="S67" s="101" t="n">
        <v>2</v>
      </c>
      <c r="T67" s="105" t="n">
        <v>0</v>
      </c>
      <c r="U67" s="107" t="n">
        <v>1</v>
      </c>
      <c r="V67" s="110" t="n">
        <v>1</v>
      </c>
      <c r="W67" s="112" t="n">
        <v>4</v>
      </c>
      <c r="X67" s="117" t="n">
        <v>0</v>
      </c>
      <c r="Y67" s="120" t="n">
        <v>0</v>
      </c>
      <c r="Z67" s="121" t="n">
        <v>2</v>
      </c>
      <c r="AA67" s="126" t="n">
        <v>1</v>
      </c>
      <c r="AB67" s="129" t="n">
        <v>3</v>
      </c>
      <c r="AC67" s="132" t="n">
        <v>2</v>
      </c>
      <c r="AD67" s="136" t="n">
        <v>0</v>
      </c>
      <c r="AE67" s="137" t="n">
        <v>6</v>
      </c>
      <c r="AF67" s="142" t="n">
        <v>0</v>
      </c>
      <c r="AG67" s="144" t="n">
        <v>1</v>
      </c>
      <c r="AH67" s="148" t="n">
        <v>0</v>
      </c>
      <c r="AI67" s="151" t="n">
        <v>0</v>
      </c>
      <c r="AJ67" s="152" t="n">
        <v>1</v>
      </c>
      <c r="AK67" s="154" t="n">
        <v>0</v>
      </c>
      <c r="AL67" s="156" t="n">
        <v>0</v>
      </c>
      <c r="AM67" s="160" t="n">
        <v>0</v>
      </c>
      <c r="AN67" s="162" t="n">
        <v>1</v>
      </c>
      <c r="AO67" s="162" t="n">
        <v>0</v>
      </c>
      <c r="AP67" s="166" t="n">
        <v>0</v>
      </c>
      <c r="AQ67" s="169" t="n">
        <v>0</v>
      </c>
      <c r="AR67" s="172" t="n">
        <v>0</v>
      </c>
      <c r="AS67" s="174" t="n">
        <v>2</v>
      </c>
      <c r="AT67" s="178" t="n">
        <v>0</v>
      </c>
      <c r="AU67" s="178" t="n">
        <v>0</v>
      </c>
      <c r="AV67" s="181" t="n">
        <v>0</v>
      </c>
      <c r="AW67" s="183" t="n">
        <v>0</v>
      </c>
      <c r="AX67" s="183" t="n">
        <v>0</v>
      </c>
      <c r="AY67" s="187" t="n">
        <v>0</v>
      </c>
      <c r="AZ67" s="189" t="n">
        <v>0</v>
      </c>
      <c r="BA67" s="192" t="n">
        <v>0</v>
      </c>
      <c r="BB67" s="196" t="n">
        <v>0</v>
      </c>
      <c r="BC67" s="199" t="n">
        <v>0</v>
      </c>
      <c r="BD67" s="202" t="n">
        <v>0</v>
      </c>
      <c r="BE67" s="205" t="n">
        <v>0</v>
      </c>
      <c r="BF67" s="204" t="n">
        <v>1</v>
      </c>
      <c r="BG67" s="207" t="n">
        <v>1</v>
      </c>
      <c r="BH67" s="211" t="n">
        <v>0</v>
      </c>
      <c r="BI67" s="211" t="n">
        <v>0</v>
      </c>
      <c r="BJ67" s="211" t="n">
        <v>0</v>
      </c>
      <c r="BK67" s="211" t="n">
        <v>0</v>
      </c>
      <c r="BL67" s="211" t="n">
        <v>0</v>
      </c>
      <c r="BM67" s="211" t="n">
        <v>0</v>
      </c>
      <c r="BN67" s="215" t="n">
        <v>0</v>
      </c>
      <c r="BO67" s="215" t="n">
        <v>0</v>
      </c>
      <c r="BP67" s="215" t="n">
        <v>0</v>
      </c>
      <c r="BQ67" s="215" t="n">
        <v>0</v>
      </c>
    </row>
    <row r="68" ht="15.75" customHeight="1" thickBot="1">
      <c r="A68" s="66" t="inlineStr">
        <is>
          <t>https://open.spotify.com/playlist/16VNfATtAvhdz2fpigNUZP</t>
        </is>
      </c>
      <c r="B68" s="36" t="inlineStr">
        <is>
          <t>CRAZY Viral Mashups Nonstop 2026 🔥 – Trending Audio &amp; FYP Mix</t>
        </is>
      </c>
      <c r="C68" s="36" t="inlineStr">
        <is>
          <t>16VNfATtAvhdz2fpigNUZP</t>
        </is>
      </c>
      <c r="D68" s="53" t="n">
        <v>46</v>
      </c>
      <c r="E68" s="50" t="n">
        <v>2</v>
      </c>
      <c r="F68" s="50" t="n">
        <v>0</v>
      </c>
      <c r="G68" s="48" t="n">
        <v>2</v>
      </c>
      <c r="H68" s="48" t="n">
        <v>0</v>
      </c>
      <c r="I68" s="70" t="n">
        <v>1</v>
      </c>
      <c r="J68" s="73" t="n">
        <v>2</v>
      </c>
      <c r="K68" s="76" t="n">
        <v>0</v>
      </c>
      <c r="L68" s="79" t="n">
        <v>2</v>
      </c>
      <c r="M68" s="82" t="n">
        <v>1</v>
      </c>
      <c r="N68" s="85" t="n">
        <v>2</v>
      </c>
      <c r="O68" s="90" t="n">
        <v>0</v>
      </c>
      <c r="P68" s="92" t="n">
        <v>1</v>
      </c>
      <c r="Q68" s="96" t="n">
        <v>0</v>
      </c>
      <c r="R68" s="98" t="n">
        <v>0</v>
      </c>
      <c r="S68" s="102" t="n">
        <v>0</v>
      </c>
      <c r="T68" s="105" t="n">
        <v>0</v>
      </c>
      <c r="U68" s="107" t="n">
        <v>3</v>
      </c>
      <c r="V68" s="109" t="n">
        <v>4</v>
      </c>
      <c r="W68" s="113" t="n">
        <v>2</v>
      </c>
      <c r="X68" s="117" t="n">
        <v>-1</v>
      </c>
      <c r="Y68" s="119" t="n">
        <v>2</v>
      </c>
      <c r="Z68" s="121" t="n">
        <v>1</v>
      </c>
      <c r="AA68" s="126" t="n">
        <v>1</v>
      </c>
      <c r="AB68" s="130" t="n">
        <v>0</v>
      </c>
      <c r="AC68" s="133" t="n">
        <v>-1</v>
      </c>
      <c r="AD68" s="135" t="n">
        <v>2</v>
      </c>
      <c r="AE68" s="139" t="n">
        <v>1</v>
      </c>
      <c r="AF68" s="141" t="n">
        <v>1</v>
      </c>
      <c r="AG68" s="145" t="n">
        <v>0</v>
      </c>
      <c r="AH68" s="148" t="n">
        <v>0</v>
      </c>
      <c r="AI68" s="151" t="n">
        <v>0</v>
      </c>
      <c r="AJ68" s="152" t="n">
        <v>2</v>
      </c>
      <c r="AK68" s="152" t="n">
        <v>1</v>
      </c>
      <c r="AL68" s="156" t="n">
        <v>0</v>
      </c>
      <c r="AM68" s="159" t="n">
        <v>2</v>
      </c>
      <c r="AN68" s="162" t="n">
        <v>1</v>
      </c>
      <c r="AO68" s="162" t="n">
        <v>0</v>
      </c>
      <c r="AP68" s="165" t="n">
        <v>1</v>
      </c>
      <c r="AQ68" s="169" t="n">
        <v>0</v>
      </c>
      <c r="AR68" s="172" t="n">
        <v>0</v>
      </c>
      <c r="AS68" s="174" t="n">
        <v>1</v>
      </c>
      <c r="AT68" s="178" t="n">
        <v>0</v>
      </c>
      <c r="AU68" s="178" t="n">
        <v>0</v>
      </c>
      <c r="AV68" s="181" t="n">
        <v>0</v>
      </c>
      <c r="AW68" s="183" t="n">
        <v>0</v>
      </c>
      <c r="AX68" s="183" t="n">
        <v>0</v>
      </c>
      <c r="AY68" s="187" t="n">
        <v>0</v>
      </c>
      <c r="AZ68" s="189" t="n">
        <v>0</v>
      </c>
      <c r="BA68" s="192" t="n">
        <v>0</v>
      </c>
      <c r="BB68" s="194" t="n">
        <v>1</v>
      </c>
      <c r="BC68" s="199" t="n">
        <v>0</v>
      </c>
      <c r="BD68" s="202" t="n">
        <v>0</v>
      </c>
      <c r="BE68" s="205" t="n">
        <v>0</v>
      </c>
      <c r="BF68" s="205" t="n">
        <v>0</v>
      </c>
      <c r="BG68" s="207" t="n">
        <v>1</v>
      </c>
      <c r="BH68" s="211" t="n">
        <v>0</v>
      </c>
      <c r="BI68" s="210" t="n">
        <v>1</v>
      </c>
      <c r="BJ68" s="211" t="n">
        <v>0</v>
      </c>
      <c r="BK68" s="211" t="n">
        <v>0</v>
      </c>
      <c r="BL68" s="211" t="n">
        <v>0</v>
      </c>
      <c r="BM68" s="211" t="n">
        <v>0</v>
      </c>
      <c r="BN68" s="215" t="n">
        <v>0</v>
      </c>
      <c r="BO68" s="215" t="n">
        <v>0</v>
      </c>
      <c r="BP68" s="215" t="n">
        <v>0</v>
      </c>
      <c r="BQ68" s="215" t="n">
        <v>0</v>
      </c>
    </row>
    <row r="69" ht="15.75" customHeight="1" thickBot="1">
      <c r="A69" s="67" t="inlineStr">
        <is>
          <t>https://open.spotify.com/playlist/3hy0SzQOw1dArHfi3Afegy</t>
        </is>
      </c>
      <c r="B69" s="34" t="inlineStr">
        <is>
          <t>INSANE Viral Mashups 2026 🔥 – TikTok &amp; Instagram Trending Audio</t>
        </is>
      </c>
      <c r="C69" s="36" t="inlineStr">
        <is>
          <t>3hy0SzQOw1dArHfi3Afegy</t>
        </is>
      </c>
      <c r="D69" s="53" t="n">
        <v>34</v>
      </c>
      <c r="E69" s="50" t="n">
        <v>1</v>
      </c>
      <c r="F69" s="50" t="n">
        <v>1</v>
      </c>
      <c r="G69" s="48" t="n">
        <v>1</v>
      </c>
      <c r="H69" s="48" t="n">
        <v>0</v>
      </c>
      <c r="I69" s="70" t="n">
        <v>1</v>
      </c>
      <c r="J69" s="74" t="n">
        <v>0</v>
      </c>
      <c r="K69" s="77" t="n">
        <v>1</v>
      </c>
      <c r="L69" s="79" t="n">
        <v>1</v>
      </c>
      <c r="M69" s="83" t="n">
        <v>0</v>
      </c>
      <c r="N69" s="86" t="n">
        <v>0</v>
      </c>
      <c r="O69" s="90" t="n">
        <v>0</v>
      </c>
      <c r="P69" s="92" t="n">
        <v>2</v>
      </c>
      <c r="Q69" s="96" t="n">
        <v>0</v>
      </c>
      <c r="R69" s="98" t="n">
        <v>0</v>
      </c>
      <c r="S69" s="101" t="n">
        <v>1</v>
      </c>
      <c r="T69" s="105" t="n">
        <v>0</v>
      </c>
      <c r="U69" s="108" t="n">
        <v>0</v>
      </c>
      <c r="V69" s="110" t="n">
        <v>1</v>
      </c>
      <c r="W69" s="114" t="n">
        <v>0</v>
      </c>
      <c r="X69" s="117" t="n">
        <v>0</v>
      </c>
      <c r="Y69" s="120" t="n">
        <v>0</v>
      </c>
      <c r="Z69" s="123" t="n">
        <v>0</v>
      </c>
      <c r="AA69" s="126" t="n">
        <v>1</v>
      </c>
      <c r="AB69" s="130" t="n">
        <v>0</v>
      </c>
      <c r="AC69" s="132" t="n">
        <v>1</v>
      </c>
      <c r="AD69" s="136" t="n">
        <v>0</v>
      </c>
      <c r="AE69" s="138" t="n">
        <v>0</v>
      </c>
      <c r="AF69" s="141" t="n">
        <v>1</v>
      </c>
      <c r="AG69" s="144" t="n">
        <v>2</v>
      </c>
      <c r="AH69" s="147" t="n">
        <v>1</v>
      </c>
      <c r="AI69" s="151" t="n">
        <v>0</v>
      </c>
      <c r="AJ69" s="152" t="n">
        <v>2</v>
      </c>
      <c r="AK69" s="154" t="n">
        <v>0</v>
      </c>
      <c r="AL69" s="157" t="n">
        <v>1</v>
      </c>
      <c r="AM69" s="160" t="n">
        <v>0</v>
      </c>
      <c r="AN69" s="163" t="n">
        <v>0</v>
      </c>
      <c r="AO69" s="163" t="n">
        <v>0</v>
      </c>
      <c r="AP69" s="165" t="n">
        <v>1</v>
      </c>
      <c r="AQ69" s="168" t="n">
        <v>1</v>
      </c>
      <c r="AR69" s="171" t="n">
        <v>1</v>
      </c>
      <c r="AS69" s="175" t="n">
        <v>0</v>
      </c>
      <c r="AT69" s="178" t="n">
        <v>0</v>
      </c>
      <c r="AU69" s="178" t="n">
        <v>0</v>
      </c>
      <c r="AV69" s="181" t="n">
        <v>0</v>
      </c>
      <c r="AW69" s="184" t="n">
        <v>1</v>
      </c>
      <c r="AX69" s="184" t="n">
        <v>1</v>
      </c>
      <c r="AY69" s="187" t="n">
        <v>0</v>
      </c>
      <c r="AZ69" s="190" t="n">
        <v>1</v>
      </c>
      <c r="BA69" s="192" t="n">
        <v>0</v>
      </c>
      <c r="BB69" s="196" t="n">
        <v>0</v>
      </c>
      <c r="BC69" s="199" t="n">
        <v>0</v>
      </c>
      <c r="BD69" s="202" t="n">
        <v>0</v>
      </c>
      <c r="BE69" s="205" t="n">
        <v>0</v>
      </c>
      <c r="BF69" s="205" t="n">
        <v>0</v>
      </c>
      <c r="BG69" s="208" t="n">
        <v>0</v>
      </c>
      <c r="BH69" s="210" t="n">
        <v>2</v>
      </c>
      <c r="BI69" s="211" t="n">
        <v>0</v>
      </c>
      <c r="BJ69" s="210" t="n">
        <v>1</v>
      </c>
      <c r="BK69" s="211" t="n">
        <v>0</v>
      </c>
      <c r="BL69" s="211" t="n">
        <v>0</v>
      </c>
      <c r="BM69" s="211" t="n">
        <v>0</v>
      </c>
      <c r="BN69" s="215" t="n">
        <v>0</v>
      </c>
      <c r="BO69" s="215" t="n">
        <v>0</v>
      </c>
      <c r="BP69" s="215" t="n">
        <v>0</v>
      </c>
      <c r="BQ69" s="215" t="n">
        <v>0</v>
      </c>
    </row>
    <row r="70" ht="15.75" customHeight="1" thickBot="1">
      <c r="A70" s="67" t="inlineStr">
        <is>
          <t>https://open.spotify.com/playlist/45sln7xIgxB7BE30UocasN</t>
        </is>
      </c>
      <c r="B70" s="34" t="inlineStr">
        <is>
          <t>MAD TikTok Viral Mashups 2026 🔥 – Trending Sounds &amp; Hype Remixes</t>
        </is>
      </c>
      <c r="C70" s="34" t="inlineStr">
        <is>
          <t>45sln7xIgxB7BE30UocasN</t>
        </is>
      </c>
      <c r="D70" s="53" t="n">
        <v>47</v>
      </c>
      <c r="E70" s="50" t="n">
        <v>0</v>
      </c>
      <c r="F70" s="50" t="n">
        <v>0</v>
      </c>
      <c r="G70" s="48" t="n">
        <v>0</v>
      </c>
      <c r="H70" s="48" t="n">
        <v>0</v>
      </c>
      <c r="I70" s="71" t="n">
        <v>0</v>
      </c>
      <c r="J70" s="74" t="n">
        <v>0</v>
      </c>
      <c r="K70" s="77" t="n">
        <v>1</v>
      </c>
      <c r="L70" s="79" t="n">
        <v>1</v>
      </c>
      <c r="M70" s="83" t="n">
        <v>0</v>
      </c>
      <c r="N70" s="86" t="n">
        <v>0</v>
      </c>
      <c r="O70" s="90" t="n">
        <v>0</v>
      </c>
      <c r="P70" s="92" t="n">
        <v>1</v>
      </c>
      <c r="Q70" s="95" t="n">
        <v>1</v>
      </c>
      <c r="R70" s="99" t="n">
        <v>2</v>
      </c>
      <c r="S70" s="102" t="n">
        <v>0</v>
      </c>
      <c r="T70" s="105" t="n">
        <v>0</v>
      </c>
      <c r="U70" s="107" t="n">
        <v>1</v>
      </c>
      <c r="V70" s="110" t="n">
        <v>1</v>
      </c>
      <c r="W70" s="113" t="n">
        <v>1</v>
      </c>
      <c r="X70" s="115" t="n">
        <v>4</v>
      </c>
      <c r="Y70" s="120" t="n">
        <v>0</v>
      </c>
      <c r="Z70" s="121" t="n">
        <v>3</v>
      </c>
      <c r="AA70" s="126" t="n">
        <v>2</v>
      </c>
      <c r="AB70" s="129" t="n">
        <v>1</v>
      </c>
      <c r="AC70" s="131" t="n">
        <v>4</v>
      </c>
      <c r="AD70" s="135" t="n">
        <v>1</v>
      </c>
      <c r="AE70" s="138" t="n">
        <v>0</v>
      </c>
      <c r="AF70" s="141" t="n">
        <v>2</v>
      </c>
      <c r="AG70" s="144" t="n">
        <v>2</v>
      </c>
      <c r="AH70" s="147" t="n">
        <v>2</v>
      </c>
      <c r="AI70" s="151" t="n">
        <v>0</v>
      </c>
      <c r="AJ70" s="152" t="n">
        <v>1</v>
      </c>
      <c r="AK70" s="152" t="n">
        <v>1</v>
      </c>
      <c r="AL70" s="156" t="n">
        <v>0</v>
      </c>
      <c r="AM70" s="160" t="n">
        <v>0</v>
      </c>
      <c r="AN70" s="163" t="n">
        <v>0</v>
      </c>
      <c r="AO70" s="163" t="n">
        <v>0</v>
      </c>
      <c r="AP70" s="165" t="n">
        <v>1</v>
      </c>
      <c r="AQ70" s="168" t="n">
        <v>2</v>
      </c>
      <c r="AR70" s="172" t="n">
        <v>0</v>
      </c>
      <c r="AS70" s="174" t="n">
        <v>1</v>
      </c>
      <c r="AT70" s="178" t="n">
        <v>0</v>
      </c>
      <c r="AU70" s="177" t="n">
        <v>1</v>
      </c>
      <c r="AV70" s="181" t="n">
        <v>0</v>
      </c>
      <c r="AW70" s="183" t="n">
        <v>0</v>
      </c>
      <c r="AX70" s="183" t="n">
        <v>0</v>
      </c>
      <c r="AY70" s="186" t="n">
        <v>1</v>
      </c>
      <c r="AZ70" s="189" t="n">
        <v>0</v>
      </c>
      <c r="BA70" s="192" t="n">
        <v>0</v>
      </c>
      <c r="BB70" s="196" t="n">
        <v>0</v>
      </c>
      <c r="BC70" s="199" t="n">
        <v>0</v>
      </c>
      <c r="BD70" s="201" t="n">
        <v>1</v>
      </c>
      <c r="BE70" s="205" t="n">
        <v>0</v>
      </c>
      <c r="BF70" s="205" t="n">
        <v>0</v>
      </c>
      <c r="BG70" s="208" t="n">
        <v>0</v>
      </c>
      <c r="BH70" s="211" t="n">
        <v>0</v>
      </c>
      <c r="BI70" s="211" t="n">
        <v>0</v>
      </c>
      <c r="BJ70" s="211" t="n">
        <v>0</v>
      </c>
      <c r="BK70" s="211" t="n">
        <v>0</v>
      </c>
      <c r="BL70" s="210" t="n">
        <v>1</v>
      </c>
      <c r="BM70" s="211" t="n">
        <v>0</v>
      </c>
      <c r="BN70" s="215" t="n">
        <v>0</v>
      </c>
      <c r="BO70" s="215" t="n">
        <v>0</v>
      </c>
      <c r="BP70" s="215" t="n">
        <v>0</v>
      </c>
      <c r="BQ70" s="215" t="n">
        <v>0</v>
      </c>
    </row>
    <row r="71" ht="15.75" customHeight="1" thickBot="1">
      <c r="A71" s="67" t="inlineStr">
        <is>
          <t>https://open.spotify.com/playlist/1g2stGKxh9NDnDMCJGODXC</t>
        </is>
      </c>
      <c r="B71" s="34" t="inlineStr">
        <is>
          <t>UNREAL Viral Remix Mashups 2026 🔥 – Social Media Party Hits</t>
        </is>
      </c>
      <c r="C71" s="34" t="inlineStr">
        <is>
          <t>1g2stGKxh9NDnDMCJGODXC</t>
        </is>
      </c>
      <c r="D71" s="53" t="n">
        <v>21</v>
      </c>
      <c r="E71" s="50" t="n">
        <v>0</v>
      </c>
      <c r="F71" s="50" t="n">
        <v>0</v>
      </c>
      <c r="G71" s="48" t="n">
        <v>0</v>
      </c>
      <c r="H71" s="48" t="n">
        <v>2</v>
      </c>
      <c r="I71" s="71" t="n">
        <v>0</v>
      </c>
      <c r="J71" s="74" t="n">
        <v>0</v>
      </c>
      <c r="K71" s="76" t="n">
        <v>0</v>
      </c>
      <c r="L71" s="79" t="n">
        <v>2</v>
      </c>
      <c r="M71" s="82" t="n">
        <v>1</v>
      </c>
      <c r="N71" s="86" t="n">
        <v>0</v>
      </c>
      <c r="O71" s="89" t="n">
        <v>1</v>
      </c>
      <c r="P71" s="93" t="n">
        <v>0</v>
      </c>
      <c r="Q71" s="96" t="n">
        <v>0</v>
      </c>
      <c r="R71" s="99" t="n">
        <v>1</v>
      </c>
      <c r="S71" s="102" t="n">
        <v>0</v>
      </c>
      <c r="T71" s="104" t="n">
        <v>1</v>
      </c>
      <c r="U71" s="108" t="n">
        <v>-1</v>
      </c>
      <c r="V71" s="111" t="n">
        <v>0</v>
      </c>
      <c r="W71" s="114" t="n">
        <v>0</v>
      </c>
      <c r="X71" s="116" t="n">
        <v>1</v>
      </c>
      <c r="Y71" s="120" t="n">
        <v>0</v>
      </c>
      <c r="Z71" s="123" t="n">
        <v>0</v>
      </c>
      <c r="AA71" s="127" t="n">
        <v>0</v>
      </c>
      <c r="AB71" s="129" t="n">
        <v>3</v>
      </c>
      <c r="AC71" s="133" t="n">
        <v>0</v>
      </c>
      <c r="AD71" s="136" t="n">
        <v>0</v>
      </c>
      <c r="AE71" s="138" t="n">
        <v>0</v>
      </c>
      <c r="AF71" s="142" t="n">
        <v>0</v>
      </c>
      <c r="AN71" t="n">
        <v>0</v>
      </c>
      <c r="AO71" t="n">
        <v>0</v>
      </c>
    </row>
    <row r="72" ht="15.75" customHeight="1" thickBot="1">
      <c r="A72" s="67" t="inlineStr">
        <is>
          <t>https://open.spotify.com/playlist/2J7rezOGI9AkemChjyG2v2</t>
        </is>
      </c>
      <c r="B72" s="34" t="inlineStr">
        <is>
          <t>CERTIFIED Mashup Transitions 2026 🔥 – Beat Drops &amp; Viral Edits</t>
        </is>
      </c>
      <c r="C72" s="34" t="inlineStr">
        <is>
          <t>2J7rezOGI9AkemChjyG2v2</t>
        </is>
      </c>
      <c r="D72" s="53" t="n">
        <v>25</v>
      </c>
      <c r="E72" s="50" t="n">
        <v>0</v>
      </c>
      <c r="F72" s="50" t="n">
        <v>0</v>
      </c>
      <c r="G72" s="48" t="n">
        <v>0</v>
      </c>
      <c r="H72" s="48" t="n">
        <v>0</v>
      </c>
      <c r="I72" s="71" t="n">
        <v>0</v>
      </c>
      <c r="J72" s="73" t="n">
        <v>3</v>
      </c>
      <c r="K72" s="76" t="n">
        <v>0</v>
      </c>
      <c r="L72" s="79" t="n">
        <v>3</v>
      </c>
      <c r="M72" s="83" t="n">
        <v>0</v>
      </c>
      <c r="N72" s="86" t="n">
        <v>-1</v>
      </c>
      <c r="O72" s="90" t="n">
        <v>0</v>
      </c>
      <c r="P72" s="93" t="n">
        <v>0</v>
      </c>
      <c r="Q72" s="96" t="n">
        <v>0</v>
      </c>
      <c r="R72" s="99" t="n">
        <v>1</v>
      </c>
      <c r="S72" s="101" t="n">
        <v>1</v>
      </c>
      <c r="T72" s="105" t="n">
        <v>0</v>
      </c>
      <c r="U72" s="107" t="n">
        <v>1</v>
      </c>
      <c r="V72" s="111" t="n">
        <v>0</v>
      </c>
      <c r="W72" s="114" t="n">
        <v>-1</v>
      </c>
      <c r="X72" s="117" t="n">
        <v>0</v>
      </c>
      <c r="Y72" s="119" t="n">
        <v>1</v>
      </c>
      <c r="Z72" s="121" t="n">
        <v>2</v>
      </c>
      <c r="AA72" s="126" t="n">
        <v>1</v>
      </c>
      <c r="AB72" s="129" t="n">
        <v>2</v>
      </c>
      <c r="AC72" s="131" t="n">
        <v>4</v>
      </c>
      <c r="AD72" s="135" t="n">
        <v>1</v>
      </c>
      <c r="AE72" s="138" t="n">
        <v>0</v>
      </c>
      <c r="AF72" s="142" t="n">
        <v>0</v>
      </c>
      <c r="AN72" t="n">
        <v>0</v>
      </c>
      <c r="AO72" t="n">
        <v>0</v>
      </c>
    </row>
    <row r="73" ht="15.75" customHeight="1" thickBot="1">
      <c r="A73" s="67" t="inlineStr">
        <is>
          <t>https://open.spotify.com/playlist/2h7tFQXIKeLKdSTPXewXhr</t>
        </is>
      </c>
      <c r="B73" s="34" t="inlineStr">
        <is>
          <t>ÉPICOS Mashups &amp; Remixes do TikTok 2026 🔥 – Áudios em Alta nos Reels</t>
        </is>
      </c>
      <c r="C73" s="34" t="inlineStr">
        <is>
          <t>2h7tFQXIKeLKdSTPXewXhr</t>
        </is>
      </c>
      <c r="D73" s="53" t="n">
        <v>53</v>
      </c>
      <c r="E73" s="50" t="n">
        <v>0</v>
      </c>
      <c r="F73" s="50" t="n">
        <v>0</v>
      </c>
      <c r="G73" s="48" t="n">
        <v>-1</v>
      </c>
      <c r="H73" s="48" t="n">
        <v>0</v>
      </c>
      <c r="I73" s="71" t="n">
        <v>0</v>
      </c>
      <c r="J73" s="74" t="n">
        <v>0</v>
      </c>
      <c r="K73" s="76" t="n">
        <v>0</v>
      </c>
      <c r="L73" s="79" t="n">
        <v>2</v>
      </c>
      <c r="M73" s="82" t="n">
        <v>1</v>
      </c>
      <c r="N73" s="85" t="n">
        <v>1</v>
      </c>
      <c r="O73" s="90" t="n">
        <v>0</v>
      </c>
      <c r="P73" s="93" t="n">
        <v>0</v>
      </c>
      <c r="Q73" s="95" t="n">
        <v>1</v>
      </c>
      <c r="R73" s="99" t="n">
        <v>1</v>
      </c>
      <c r="S73" s="101" t="n">
        <v>2</v>
      </c>
      <c r="T73" s="104" t="n">
        <v>1</v>
      </c>
      <c r="U73" s="108" t="n">
        <v>0</v>
      </c>
      <c r="V73" s="110" t="n">
        <v>1</v>
      </c>
      <c r="W73" s="114" t="n">
        <v>-1</v>
      </c>
      <c r="X73" s="116" t="n">
        <v>1</v>
      </c>
      <c r="Y73" s="119" t="n">
        <v>1</v>
      </c>
      <c r="Z73" s="121" t="n">
        <v>1</v>
      </c>
      <c r="AA73" s="127" t="n">
        <v>0</v>
      </c>
      <c r="AB73" s="129" t="n">
        <v>1</v>
      </c>
      <c r="AC73" s="132" t="n">
        <v>1</v>
      </c>
      <c r="AD73" s="134" t="n">
        <v>5</v>
      </c>
      <c r="AE73" s="139" t="n">
        <v>1</v>
      </c>
      <c r="AF73" s="142" t="n">
        <v>0</v>
      </c>
      <c r="AG73" s="145" t="n">
        <v>0</v>
      </c>
      <c r="AH73" s="147" t="n">
        <v>2</v>
      </c>
      <c r="AI73" s="151" t="n">
        <v>0</v>
      </c>
      <c r="AJ73" s="152" t="n">
        <v>2</v>
      </c>
      <c r="AK73" s="154" t="n">
        <v>0</v>
      </c>
      <c r="AL73" s="157" t="n">
        <v>1</v>
      </c>
      <c r="AM73" s="159" t="n">
        <v>3</v>
      </c>
      <c r="AN73" s="161" t="n">
        <v>2</v>
      </c>
      <c r="AO73" s="161" t="n">
        <v>2</v>
      </c>
      <c r="AP73" s="165" t="n">
        <v>1</v>
      </c>
      <c r="AQ73" s="168" t="n">
        <v>1</v>
      </c>
      <c r="AR73" s="171" t="n">
        <v>1</v>
      </c>
      <c r="AS73" s="174" t="n">
        <v>1</v>
      </c>
      <c r="AT73" s="177" t="n">
        <v>2</v>
      </c>
      <c r="AU73" s="178" t="n">
        <v>0</v>
      </c>
      <c r="AV73" s="181" t="n">
        <v>0</v>
      </c>
      <c r="AW73" s="183" t="n">
        <v>0</v>
      </c>
      <c r="AX73" s="184" t="n">
        <v>2</v>
      </c>
      <c r="AY73" s="186" t="n">
        <v>1</v>
      </c>
      <c r="AZ73" s="190" t="n">
        <v>1</v>
      </c>
      <c r="BA73" s="192" t="n">
        <v>0</v>
      </c>
      <c r="BB73" s="196" t="n">
        <v>-1</v>
      </c>
      <c r="BC73" s="198" t="n">
        <v>2</v>
      </c>
      <c r="BD73" s="201" t="n">
        <v>1</v>
      </c>
      <c r="BE73" s="205" t="n">
        <v>0</v>
      </c>
      <c r="BF73" s="204" t="n">
        <v>1</v>
      </c>
      <c r="BG73" s="208" t="n">
        <v>0</v>
      </c>
      <c r="BH73" s="210" t="n">
        <v>1</v>
      </c>
      <c r="BI73" s="211" t="n">
        <v>0</v>
      </c>
      <c r="BJ73" s="210" t="n">
        <v>1</v>
      </c>
      <c r="BK73" s="211" t="n">
        <v>0</v>
      </c>
      <c r="BL73" s="211" t="n">
        <v>0</v>
      </c>
      <c r="BM73" s="210" t="n">
        <v>1</v>
      </c>
      <c r="BN73" s="214" t="n">
        <v>1</v>
      </c>
      <c r="BO73" s="214" t="n">
        <v>1</v>
      </c>
      <c r="BP73" s="215" t="n">
        <v>0</v>
      </c>
      <c r="BQ73" s="215" t="n">
        <v>0</v>
      </c>
    </row>
    <row r="74" ht="15.75" customHeight="1" thickBot="1">
      <c r="A74" s="67" t="inlineStr">
        <is>
          <t>https://open.spotify.com/playlist/7ypUoUnQla3qCZ12JtMrpl</t>
        </is>
      </c>
      <c r="B74" s="34" t="inlineStr">
        <is>
          <t>AMAZING Viral Remix Mashups 2026 🔥 – Social Media Party Hits</t>
        </is>
      </c>
      <c r="C74" s="34" t="inlineStr">
        <is>
          <t>7ypUoUnQla3qCZ12JtMrpl</t>
        </is>
      </c>
      <c r="D74" s="53" t="n">
        <v>26</v>
      </c>
      <c r="E74" s="50" t="n">
        <v>1</v>
      </c>
      <c r="F74" s="50" t="n">
        <v>0</v>
      </c>
      <c r="G74" s="48" t="n">
        <v>1</v>
      </c>
      <c r="H74" s="48" t="n">
        <v>0</v>
      </c>
      <c r="I74" s="70" t="n">
        <v>1</v>
      </c>
      <c r="J74" s="74" t="n">
        <v>0</v>
      </c>
      <c r="K74" s="77" t="n">
        <v>1</v>
      </c>
      <c r="L74" s="80" t="n">
        <v>0</v>
      </c>
      <c r="M74" s="83" t="n">
        <v>0</v>
      </c>
      <c r="N74" s="86" t="n">
        <v>0</v>
      </c>
      <c r="O74" s="90" t="n">
        <v>0</v>
      </c>
      <c r="P74" s="92" t="n">
        <v>3</v>
      </c>
      <c r="Q74" s="96" t="n">
        <v>0</v>
      </c>
      <c r="R74" s="99" t="n">
        <v>1</v>
      </c>
      <c r="S74" s="102" t="n">
        <v>0</v>
      </c>
      <c r="T74" s="105" t="n">
        <v>0</v>
      </c>
      <c r="U74" s="107" t="n">
        <v>1</v>
      </c>
      <c r="V74" s="110" t="n">
        <v>1</v>
      </c>
      <c r="W74" s="114" t="n">
        <v>0</v>
      </c>
      <c r="X74" s="116" t="n">
        <v>1</v>
      </c>
      <c r="Y74" s="120" t="n">
        <v>0</v>
      </c>
      <c r="Z74" s="121" t="n">
        <v>2</v>
      </c>
      <c r="AA74" s="126" t="n">
        <v>1</v>
      </c>
      <c r="AB74" s="129" t="n">
        <v>1</v>
      </c>
      <c r="AC74" s="132" t="n">
        <v>2</v>
      </c>
      <c r="AD74" s="136" t="n">
        <v>0</v>
      </c>
      <c r="AE74" s="138" t="n">
        <v>0</v>
      </c>
      <c r="AF74" s="141" t="n">
        <v>1</v>
      </c>
      <c r="AG74" s="144" t="n">
        <v>1</v>
      </c>
      <c r="AN74" t="n">
        <v>0</v>
      </c>
      <c r="AO74" t="n">
        <v>0</v>
      </c>
    </row>
    <row r="75" ht="15.75" customHeight="1" thickBot="1">
      <c r="A75" s="67" t="inlineStr">
        <is>
          <t>https://open.spotify.com/playlist/0WqoOP9RyT44W1xvI7G1qZ</t>
        </is>
      </c>
      <c r="B75" s="34" t="inlineStr">
        <is>
          <t>EPIC TikTok Trending Mashups 2026 🔥 – Remix Edits &amp; Party Energy</t>
        </is>
      </c>
      <c r="C75" s="34" t="inlineStr">
        <is>
          <t>0WqoOP9RyT44W1xvI7G1qZ</t>
        </is>
      </c>
      <c r="D75" s="53" t="n">
        <v>57</v>
      </c>
      <c r="E75" s="50" t="n">
        <v>0</v>
      </c>
      <c r="F75" s="50" t="n">
        <v>0</v>
      </c>
      <c r="G75" s="48" t="n">
        <v>0</v>
      </c>
      <c r="H75" s="48" t="n">
        <v>0</v>
      </c>
      <c r="I75" s="71" t="n">
        <v>0</v>
      </c>
      <c r="J75" s="73" t="n">
        <v>1</v>
      </c>
      <c r="K75" s="76" t="n">
        <v>0</v>
      </c>
      <c r="L75" s="79" t="n">
        <v>2</v>
      </c>
      <c r="M75" s="83" t="n">
        <v>0</v>
      </c>
      <c r="N75" s="86" t="n">
        <v>0</v>
      </c>
      <c r="O75" s="90" t="n">
        <v>0</v>
      </c>
      <c r="P75" s="93" t="n">
        <v>0</v>
      </c>
      <c r="Q75" s="95" t="n">
        <v>1</v>
      </c>
      <c r="R75" s="98" t="n">
        <v>0</v>
      </c>
      <c r="S75" s="102" t="n">
        <v>0</v>
      </c>
      <c r="T75" s="104" t="n">
        <v>2</v>
      </c>
      <c r="U75" s="108" t="n">
        <v>0</v>
      </c>
      <c r="V75" s="110" t="n">
        <v>1</v>
      </c>
      <c r="W75" s="114" t="n">
        <v>0</v>
      </c>
      <c r="X75" s="116" t="n">
        <v>1</v>
      </c>
      <c r="Y75" s="119" t="n">
        <v>1</v>
      </c>
      <c r="Z75" s="121" t="n">
        <v>3</v>
      </c>
      <c r="AA75" s="127" t="n">
        <v>0</v>
      </c>
      <c r="AB75" s="129" t="n">
        <v>2</v>
      </c>
      <c r="AC75" s="131" t="n">
        <v>5</v>
      </c>
      <c r="AD75" s="134" t="n">
        <v>4</v>
      </c>
      <c r="AE75" s="139" t="n">
        <v>2</v>
      </c>
      <c r="AF75" s="142" t="n">
        <v>0</v>
      </c>
      <c r="AG75" s="143" t="n">
        <v>4</v>
      </c>
      <c r="AH75" s="148" t="n">
        <v>0</v>
      </c>
      <c r="AI75" s="150" t="n">
        <v>2</v>
      </c>
      <c r="AJ75" s="152" t="n">
        <v>2</v>
      </c>
      <c r="AK75" s="152" t="n">
        <v>2</v>
      </c>
      <c r="AL75" s="157" t="n">
        <v>2</v>
      </c>
      <c r="AM75" s="160" t="n">
        <v>0</v>
      </c>
      <c r="AN75" s="163" t="n">
        <v>0</v>
      </c>
      <c r="AO75" s="163" t="n">
        <v>0</v>
      </c>
      <c r="AP75" s="165" t="n">
        <v>2</v>
      </c>
      <c r="AQ75" s="168" t="n">
        <v>2</v>
      </c>
      <c r="AR75" s="171" t="n">
        <v>1</v>
      </c>
      <c r="AS75" s="175" t="n">
        <v>0</v>
      </c>
      <c r="AT75" s="177" t="n">
        <v>1</v>
      </c>
      <c r="AU75" s="178" t="n">
        <v>-1</v>
      </c>
      <c r="AV75" s="181" t="n">
        <v>0</v>
      </c>
      <c r="AW75" s="184" t="n">
        <v>1</v>
      </c>
      <c r="AX75" s="183" t="n">
        <v>0</v>
      </c>
      <c r="AY75" s="186" t="n">
        <v>1</v>
      </c>
      <c r="AZ75" s="190" t="n">
        <v>2</v>
      </c>
      <c r="BA75" s="192" t="n">
        <v>0</v>
      </c>
      <c r="BB75" s="194" t="n">
        <v>1</v>
      </c>
      <c r="BC75" s="199" t="n">
        <v>0</v>
      </c>
      <c r="BD75" s="201" t="n">
        <v>1</v>
      </c>
      <c r="BE75" s="205" t="n">
        <v>0</v>
      </c>
      <c r="BF75" s="204" t="n">
        <v>1</v>
      </c>
      <c r="BG75" s="207" t="n">
        <v>1</v>
      </c>
      <c r="BH75" s="211" t="n">
        <v>0</v>
      </c>
      <c r="BI75" s="210" t="n">
        <v>1</v>
      </c>
      <c r="BJ75" s="211" t="n">
        <v>0</v>
      </c>
      <c r="BK75" s="211" t="n">
        <v>0</v>
      </c>
      <c r="BL75" s="211" t="n">
        <v>0</v>
      </c>
      <c r="BM75" s="211" t="n">
        <v>0</v>
      </c>
      <c r="BN75" s="215" t="n">
        <v>0</v>
      </c>
      <c r="BO75" s="215" t="n">
        <v>0</v>
      </c>
      <c r="BP75" s="215" t="n">
        <v>0</v>
      </c>
      <c r="BQ75" s="215" t="n">
        <v>0</v>
      </c>
    </row>
    <row r="76" ht="15.75" customHeight="1" thickBot="1">
      <c r="A76" s="67" t="inlineStr">
        <is>
          <t>https://open.spotify.com/playlist/418b6bxyvGfUREM2w1sco8</t>
        </is>
      </c>
      <c r="B76" s="47" t="inlineStr">
        <is>
          <t>CRAZY Viral Mashups 2026 ðŸ”¥ â€“ TikTok &amp; Instagram Trending Audio</t>
        </is>
      </c>
      <c r="C76" s="34" t="inlineStr">
        <is>
          <t>418b6bxyvGfUREM2w1sco8</t>
        </is>
      </c>
      <c r="D76" s="53" t="n">
        <v>16</v>
      </c>
      <c r="E76" s="50" t="n">
        <v>1</v>
      </c>
      <c r="F76" s="50" t="n">
        <v>0</v>
      </c>
      <c r="G76" s="48" t="n">
        <v>0</v>
      </c>
      <c r="H76" s="48" t="n">
        <v>0</v>
      </c>
      <c r="I76" s="71" t="n">
        <v>0</v>
      </c>
      <c r="J76" s="74" t="n">
        <v>0</v>
      </c>
      <c r="K76" s="76" t="n">
        <v>0</v>
      </c>
      <c r="L76" s="79" t="n">
        <v>2</v>
      </c>
      <c r="M76" s="83" t="n">
        <v>0</v>
      </c>
      <c r="N76" s="86" t="n">
        <v>0</v>
      </c>
      <c r="O76" s="90" t="n">
        <v>0</v>
      </c>
      <c r="P76" s="93" t="n">
        <v>0</v>
      </c>
      <c r="Q76" s="95" t="n">
        <v>1</v>
      </c>
      <c r="R76" s="99" t="n">
        <v>1</v>
      </c>
      <c r="S76" s="101" t="n">
        <v>1</v>
      </c>
      <c r="T76" s="105" t="n">
        <v>0</v>
      </c>
      <c r="U76" s="108" t="n">
        <v>0</v>
      </c>
      <c r="V76" s="110" t="n">
        <v>1</v>
      </c>
      <c r="W76" s="114" t="n">
        <v>0</v>
      </c>
      <c r="X76" s="116" t="n">
        <v>1</v>
      </c>
      <c r="Y76" s="119" t="n">
        <v>1</v>
      </c>
      <c r="Z76" s="121" t="n">
        <v>1</v>
      </c>
      <c r="AA76" s="127" t="n">
        <v>0</v>
      </c>
      <c r="AB76" s="130" t="n">
        <v>0</v>
      </c>
      <c r="AC76" s="132" t="n">
        <v>1</v>
      </c>
      <c r="AD76" s="135" t="n">
        <v>1</v>
      </c>
      <c r="AE76" s="138" t="n">
        <v>0</v>
      </c>
      <c r="AF76" s="141" t="n">
        <v>2</v>
      </c>
      <c r="AN76" t="n">
        <v>0</v>
      </c>
      <c r="AO76" t="n">
        <v>0</v>
      </c>
    </row>
    <row r="77" ht="15.75" customHeight="1" thickBot="1">
      <c r="A77" s="67" t="inlineStr">
        <is>
          <t>https://open.spotify.com/playlist/1qqbf8p7OpG2qndH31pXfb</t>
        </is>
      </c>
      <c r="B77" s="34" t="inlineStr">
        <is>
          <t>ICONIC Mashup Remix Hits 2026 🔥 – Viral Social Media Sounds</t>
        </is>
      </c>
      <c r="C77" s="47" t="inlineStr">
        <is>
          <t>1qqbf8p7OpG2qndH31pXfb</t>
        </is>
      </c>
      <c r="D77" s="53" t="n">
        <v>60</v>
      </c>
      <c r="E77" s="50" t="n">
        <v>1</v>
      </c>
      <c r="F77" s="50" t="n">
        <v>1</v>
      </c>
      <c r="G77" s="48" t="n">
        <v>0</v>
      </c>
      <c r="H77" s="48" t="n">
        <v>0</v>
      </c>
      <c r="I77" s="70" t="n">
        <v>1</v>
      </c>
      <c r="J77" s="74" t="n">
        <v>0</v>
      </c>
      <c r="K77" s="77" t="n">
        <v>1</v>
      </c>
      <c r="L77" s="79" t="n">
        <v>1</v>
      </c>
      <c r="M77" s="83" t="n">
        <v>0</v>
      </c>
      <c r="N77" s="86" t="n">
        <v>0</v>
      </c>
      <c r="O77" s="89" t="n">
        <v>1</v>
      </c>
      <c r="P77" s="92" t="n">
        <v>3</v>
      </c>
      <c r="Q77" s="96" t="n">
        <v>0</v>
      </c>
      <c r="R77" s="99" t="n">
        <v>2</v>
      </c>
      <c r="S77" s="101" t="n">
        <v>1</v>
      </c>
      <c r="T77" s="104" t="n">
        <v>1</v>
      </c>
      <c r="U77" s="107" t="n">
        <v>1</v>
      </c>
      <c r="V77" s="111" t="n">
        <v>0</v>
      </c>
      <c r="W77" s="113" t="n">
        <v>2</v>
      </c>
      <c r="X77" s="116" t="n">
        <v>2</v>
      </c>
      <c r="Y77" s="119" t="n">
        <v>2</v>
      </c>
      <c r="Z77" s="122" t="n">
        <v>4</v>
      </c>
      <c r="AA77" s="126" t="n">
        <v>2</v>
      </c>
      <c r="AB77" s="129" t="n">
        <v>2</v>
      </c>
      <c r="AC77" s="132" t="n">
        <v>1</v>
      </c>
      <c r="AD77" s="135" t="n">
        <v>3</v>
      </c>
      <c r="AE77" s="138" t="n">
        <v>0</v>
      </c>
      <c r="AF77" s="141" t="n">
        <v>2</v>
      </c>
      <c r="AG77" s="144" t="n">
        <v>1</v>
      </c>
      <c r="AH77" s="148" t="n">
        <v>0</v>
      </c>
      <c r="AI77" s="150" t="n">
        <v>2</v>
      </c>
      <c r="AJ77" s="152" t="n">
        <v>3</v>
      </c>
      <c r="AK77" s="152" t="n">
        <v>1</v>
      </c>
      <c r="AL77" s="157" t="n">
        <v>1</v>
      </c>
      <c r="AM77" s="160" t="n">
        <v>0</v>
      </c>
      <c r="AN77" s="162" t="n">
        <v>1</v>
      </c>
      <c r="AO77" s="162" t="n">
        <v>0</v>
      </c>
      <c r="AP77" s="165" t="n">
        <v>1</v>
      </c>
      <c r="AQ77" s="168" t="n">
        <v>1</v>
      </c>
      <c r="AR77" s="172" t="n">
        <v>0</v>
      </c>
      <c r="AS77" s="175" t="n">
        <v>0</v>
      </c>
      <c r="AT77" s="177" t="n">
        <v>1</v>
      </c>
      <c r="AU77" s="177" t="n">
        <v>1</v>
      </c>
      <c r="AV77" s="181" t="n">
        <v>0</v>
      </c>
      <c r="AW77" s="183" t="n">
        <v>0</v>
      </c>
      <c r="AX77" s="183" t="n">
        <v>0</v>
      </c>
      <c r="AY77" s="187" t="n">
        <v>0</v>
      </c>
      <c r="AZ77" s="190" t="n">
        <v>3</v>
      </c>
      <c r="BA77" s="192" t="n">
        <v>0</v>
      </c>
      <c r="BB77" s="196" t="n">
        <v>0</v>
      </c>
      <c r="BC77" s="198" t="n">
        <v>2</v>
      </c>
      <c r="BD77" s="201" t="n">
        <v>1</v>
      </c>
      <c r="BE77" s="205" t="n">
        <v>0</v>
      </c>
      <c r="BF77" s="204" t="n">
        <v>1</v>
      </c>
      <c r="BG77" s="208" t="n">
        <v>0</v>
      </c>
      <c r="BH77" s="210" t="n">
        <v>1</v>
      </c>
      <c r="BI77" s="211" t="n">
        <v>0</v>
      </c>
      <c r="BJ77" s="211" t="n">
        <v>0</v>
      </c>
      <c r="BK77" s="211" t="n">
        <v>0</v>
      </c>
      <c r="BL77" s="211" t="n">
        <v>0</v>
      </c>
      <c r="BM77" s="211" t="n">
        <v>0</v>
      </c>
      <c r="BN77" s="215" t="n">
        <v>-1</v>
      </c>
      <c r="BO77" s="215" t="n">
        <v>0</v>
      </c>
      <c r="BP77" s="215" t="n">
        <v>0</v>
      </c>
      <c r="BQ77" s="215" t="n">
        <v>0</v>
      </c>
    </row>
    <row r="78" ht="15.75" customHeight="1" thickBot="1">
      <c r="A78" s="67" t="inlineStr">
        <is>
          <t>https://open.spotify.com/playlist/2nU9ocH07AV3XAUbBwf24T</t>
        </is>
      </c>
      <c r="B78" s="34" t="inlineStr">
        <is>
          <t>EPIC TikTok Mashups &amp; Remixes 2026 🔥 – Sped Up, Slow Reverb &amp; Viral Edits</t>
        </is>
      </c>
      <c r="C78" s="34" t="inlineStr">
        <is>
          <t>2nU9ocH07AV3XAUbBwf24T</t>
        </is>
      </c>
      <c r="D78" s="53" t="n">
        <v>139</v>
      </c>
      <c r="E78" s="50" t="n">
        <v>2</v>
      </c>
      <c r="F78" s="50" t="n">
        <v>0</v>
      </c>
      <c r="G78" s="48" t="n">
        <v>1</v>
      </c>
      <c r="H78" s="48" t="n">
        <v>0</v>
      </c>
      <c r="I78" s="70" t="n">
        <v>3</v>
      </c>
      <c r="J78" s="74" t="n">
        <v>0</v>
      </c>
      <c r="K78" s="77" t="n">
        <v>3</v>
      </c>
      <c r="L78" s="78" t="n">
        <v>6</v>
      </c>
      <c r="M78" s="82" t="n">
        <v>1</v>
      </c>
      <c r="N78" s="84" t="n">
        <v>5</v>
      </c>
      <c r="O78" s="90" t="n">
        <v>0</v>
      </c>
      <c r="P78" s="91" t="n">
        <v>4</v>
      </c>
      <c r="Q78" s="95" t="n">
        <v>1</v>
      </c>
      <c r="R78" s="97" t="n">
        <v>4</v>
      </c>
      <c r="S78" s="101" t="n">
        <v>3</v>
      </c>
      <c r="T78" s="104" t="n">
        <v>3</v>
      </c>
      <c r="U78" s="107" t="n">
        <v>2</v>
      </c>
      <c r="V78" s="110" t="n">
        <v>3</v>
      </c>
      <c r="W78" s="112" t="n">
        <v>6</v>
      </c>
      <c r="X78" s="115" t="n">
        <v>4</v>
      </c>
      <c r="Y78" s="118" t="n">
        <v>5</v>
      </c>
      <c r="Z78" s="122" t="n">
        <v>6</v>
      </c>
      <c r="AA78" s="127" t="n">
        <v>-2</v>
      </c>
      <c r="AB78" s="128" t="n">
        <v>4</v>
      </c>
      <c r="AC78" s="132" t="n">
        <v>3</v>
      </c>
      <c r="AD78" s="134" t="n">
        <v>5</v>
      </c>
      <c r="AE78" s="139" t="n">
        <v>2</v>
      </c>
      <c r="AF78" s="141" t="n">
        <v>2</v>
      </c>
      <c r="AG78" s="143" t="n">
        <v>4</v>
      </c>
      <c r="AH78" s="147" t="n">
        <v>1</v>
      </c>
      <c r="AI78" s="150" t="n">
        <v>3</v>
      </c>
      <c r="AJ78" s="152" t="n">
        <v>2</v>
      </c>
      <c r="AK78" s="152" t="n">
        <v>2</v>
      </c>
      <c r="AL78" s="157" t="n">
        <v>1</v>
      </c>
      <c r="AM78" s="159" t="n">
        <v>2</v>
      </c>
      <c r="AN78" s="161" t="n">
        <v>3</v>
      </c>
      <c r="AO78" s="161" t="n">
        <v>2</v>
      </c>
      <c r="AP78" s="165" t="n">
        <v>1</v>
      </c>
      <c r="AQ78" s="168" t="n">
        <v>1</v>
      </c>
      <c r="AR78" s="171" t="n">
        <v>1</v>
      </c>
      <c r="AS78" s="174" t="n">
        <v>2</v>
      </c>
      <c r="AT78" s="177" t="n">
        <v>2</v>
      </c>
      <c r="AU78" s="178" t="n">
        <v>0</v>
      </c>
      <c r="AV78" s="180" t="n">
        <v>3</v>
      </c>
      <c r="AW78" s="184" t="n">
        <v>2</v>
      </c>
      <c r="AX78" s="183" t="n">
        <v>0</v>
      </c>
      <c r="AY78" s="186" t="n">
        <v>3</v>
      </c>
      <c r="AZ78" s="188" t="n">
        <v>4</v>
      </c>
      <c r="BA78" s="191" t="n">
        <v>2</v>
      </c>
      <c r="BB78" s="196" t="n">
        <v>-1</v>
      </c>
      <c r="BC78" s="199" t="n">
        <v>0</v>
      </c>
      <c r="BD78" s="201" t="n">
        <v>1</v>
      </c>
      <c r="BE78" s="204" t="n">
        <v>2</v>
      </c>
      <c r="BF78" s="205" t="n">
        <v>-1</v>
      </c>
      <c r="BG78" s="207" t="n">
        <v>1</v>
      </c>
      <c r="BH78" s="211" t="n">
        <v>0</v>
      </c>
      <c r="BI78" s="209" t="n">
        <v>4</v>
      </c>
      <c r="BJ78" s="211" t="n">
        <v>-1</v>
      </c>
      <c r="BK78" s="211" t="n">
        <v>0</v>
      </c>
      <c r="BL78" s="210" t="n">
        <v>1</v>
      </c>
      <c r="BM78" s="210" t="n">
        <v>2</v>
      </c>
      <c r="BN78" s="214" t="n">
        <v>1</v>
      </c>
      <c r="BO78" s="215" t="n">
        <v>0</v>
      </c>
      <c r="BP78" s="214" t="n">
        <v>2</v>
      </c>
      <c r="BQ78" s="215" t="n">
        <v>0</v>
      </c>
    </row>
    <row r="79" ht="15.75" customHeight="1" thickBot="1">
      <c r="A79" s="67" t="inlineStr">
        <is>
          <t>https://open.spotify.com/playlist/3C9xPNfyRXt66BV4r8tNNM</t>
        </is>
      </c>
      <c r="B79" s="34" t="inlineStr">
        <is>
          <t>GOATED Viral Mashups 2026 🔥 – FYP Remix &amp; Trending Sounds</t>
        </is>
      </c>
      <c r="C79" s="34" t="inlineStr">
        <is>
          <t>3C9xPNfyRXt66BV4r8tNNM</t>
        </is>
      </c>
      <c r="D79" s="53" t="n">
        <v>21</v>
      </c>
      <c r="E79" s="50" t="n">
        <v>1</v>
      </c>
      <c r="F79" s="50" t="n">
        <v>0</v>
      </c>
      <c r="G79" s="48" t="n">
        <v>0</v>
      </c>
      <c r="H79" s="48" t="n">
        <v>0</v>
      </c>
      <c r="I79" s="71" t="n">
        <v>0</v>
      </c>
      <c r="J79" s="73" t="n">
        <v>1</v>
      </c>
      <c r="K79" s="77" t="n">
        <v>1</v>
      </c>
      <c r="L79" s="79" t="n">
        <v>1</v>
      </c>
      <c r="M79" s="83" t="n">
        <v>0</v>
      </c>
      <c r="N79" s="86" t="n">
        <v>0</v>
      </c>
      <c r="O79" s="90" t="n">
        <v>0</v>
      </c>
      <c r="P79" s="93" t="n">
        <v>0</v>
      </c>
      <c r="Q79" s="96" t="n">
        <v>0</v>
      </c>
      <c r="R79" s="98" t="n">
        <v>0</v>
      </c>
      <c r="S79" s="102" t="n">
        <v>0</v>
      </c>
      <c r="T79" s="105" t="n">
        <v>0</v>
      </c>
      <c r="U79" s="107" t="n">
        <v>1</v>
      </c>
      <c r="V79" s="111" t="n">
        <v>0</v>
      </c>
      <c r="W79" s="114" t="n">
        <v>0</v>
      </c>
      <c r="X79" s="117" t="n">
        <v>0</v>
      </c>
      <c r="Y79" s="120" t="n">
        <v>0</v>
      </c>
      <c r="Z79" s="123" t="n">
        <v>0</v>
      </c>
      <c r="AA79" s="126" t="n">
        <v>1</v>
      </c>
      <c r="AB79" s="129" t="n">
        <v>2</v>
      </c>
      <c r="AC79" s="133" t="n">
        <v>0</v>
      </c>
      <c r="AD79" s="135" t="n">
        <v>1</v>
      </c>
      <c r="AE79" s="138" t="n">
        <v>0</v>
      </c>
      <c r="AF79" s="141" t="n">
        <v>1</v>
      </c>
      <c r="AG79" s="144" t="n">
        <v>1</v>
      </c>
      <c r="AH79" s="148" t="n">
        <v>0</v>
      </c>
      <c r="AI79" s="150" t="n">
        <v>1</v>
      </c>
      <c r="AJ79" s="152" t="n">
        <v>1</v>
      </c>
      <c r="AK79" s="152" t="n">
        <v>1</v>
      </c>
      <c r="AL79" s="156" t="n">
        <v>0</v>
      </c>
      <c r="AM79" s="160" t="n">
        <v>0</v>
      </c>
      <c r="AN79" s="162" t="n">
        <v>1</v>
      </c>
      <c r="AO79" s="162" t="n">
        <v>0</v>
      </c>
      <c r="AP79" s="166" t="n">
        <v>0</v>
      </c>
      <c r="AQ79" s="169" t="n">
        <v>0</v>
      </c>
      <c r="AR79" s="172" t="n">
        <v>0</v>
      </c>
      <c r="AS79" s="174" t="n">
        <v>2</v>
      </c>
      <c r="AT79" s="178" t="n">
        <v>0</v>
      </c>
      <c r="AU79" s="178" t="n">
        <v>0</v>
      </c>
      <c r="AV79" s="181" t="n">
        <v>0</v>
      </c>
      <c r="AW79" s="183" t="n">
        <v>0</v>
      </c>
      <c r="AX79" s="183" t="n">
        <v>0</v>
      </c>
      <c r="AY79" s="187" t="n">
        <v>0</v>
      </c>
      <c r="AZ79" s="189" t="n">
        <v>0</v>
      </c>
      <c r="BA79" s="192" t="n">
        <v>0</v>
      </c>
      <c r="BB79" s="196" t="n">
        <v>0</v>
      </c>
      <c r="BC79" s="199" t="n">
        <v>0</v>
      </c>
      <c r="BD79" s="201" t="n">
        <v>1</v>
      </c>
      <c r="BE79" s="205" t="n">
        <v>0</v>
      </c>
      <c r="BF79" s="205" t="n">
        <v>0</v>
      </c>
      <c r="BG79" s="208" t="n">
        <v>0</v>
      </c>
      <c r="BH79" s="210" t="n">
        <v>1</v>
      </c>
      <c r="BI79" s="211" t="n">
        <v>0</v>
      </c>
      <c r="BJ79" s="211" t="n">
        <v>-1</v>
      </c>
      <c r="BK79" s="211" t="n">
        <v>0</v>
      </c>
      <c r="BL79" s="211" t="n">
        <v>0</v>
      </c>
      <c r="BM79" s="211" t="n">
        <v>0</v>
      </c>
      <c r="BN79" s="215" t="n">
        <v>0</v>
      </c>
      <c r="BO79" s="215" t="n">
        <v>0</v>
      </c>
      <c r="BP79" s="215" t="n">
        <v>0</v>
      </c>
      <c r="BQ79" s="215" t="n">
        <v>0</v>
      </c>
    </row>
    <row r="80" ht="15.75" customHeight="1" thickBot="1">
      <c r="A80" s="66" t="inlineStr">
        <is>
          <t>https://open.spotify.com/playlist/0fIn0LUjeuvOvMb4YUyVA3</t>
        </is>
      </c>
      <c r="B80" s="37" t="inlineStr">
        <is>
          <t>Aura Songs  | Dark Pop, Mysterious Vibes, Aesthetic Energy</t>
        </is>
      </c>
      <c r="C80" s="34" t="inlineStr">
        <is>
          <t>0fIn0LUjeuvOvMb4YUyVA3</t>
        </is>
      </c>
      <c r="D80" s="53" t="n">
        <v>42</v>
      </c>
      <c r="E80" s="50" t="n">
        <v>-1</v>
      </c>
      <c r="F80" s="50" t="n">
        <v>1</v>
      </c>
      <c r="G80" s="48" t="n">
        <v>1</v>
      </c>
      <c r="H80" s="48" t="n">
        <v>2</v>
      </c>
      <c r="I80" s="71" t="n">
        <v>0</v>
      </c>
      <c r="J80" s="74" t="n">
        <v>0</v>
      </c>
      <c r="K80" s="76" t="n">
        <v>0</v>
      </c>
      <c r="L80" s="79" t="n">
        <v>3</v>
      </c>
      <c r="M80" s="82" t="n">
        <v>2</v>
      </c>
      <c r="N80" s="85" t="n">
        <v>1</v>
      </c>
      <c r="O80" s="89" t="n">
        <v>1</v>
      </c>
      <c r="P80" s="92" t="n">
        <v>2</v>
      </c>
      <c r="Q80" s="96" t="n">
        <v>0</v>
      </c>
      <c r="R80" s="99" t="n">
        <v>1</v>
      </c>
      <c r="S80" s="102" t="n">
        <v>0</v>
      </c>
      <c r="T80" s="104" t="n">
        <v>1</v>
      </c>
      <c r="U80" s="108" t="n">
        <v>0</v>
      </c>
      <c r="V80" s="110" t="n">
        <v>2</v>
      </c>
      <c r="W80" s="113" t="n">
        <v>1</v>
      </c>
      <c r="X80" s="117" t="n">
        <v>0</v>
      </c>
      <c r="Y80" s="120" t="n">
        <v>0</v>
      </c>
      <c r="Z80" s="121" t="n">
        <v>1</v>
      </c>
      <c r="AA80" s="127" t="n">
        <v>0</v>
      </c>
      <c r="AB80" s="130" t="n">
        <v>0</v>
      </c>
      <c r="AC80" s="133" t="n">
        <v>0</v>
      </c>
      <c r="AD80" s="136" t="n">
        <v>0</v>
      </c>
      <c r="AE80" s="138" t="n">
        <v>0</v>
      </c>
      <c r="AF80" s="142" t="n">
        <v>0</v>
      </c>
      <c r="AG80" s="145" t="n">
        <v>0</v>
      </c>
      <c r="AH80" s="148" t="n">
        <v>0</v>
      </c>
      <c r="AI80" s="151" t="n">
        <v>0</v>
      </c>
      <c r="AJ80" s="154" t="n">
        <v>0</v>
      </c>
      <c r="AK80" s="152" t="n">
        <v>2</v>
      </c>
      <c r="AL80" s="156" t="n">
        <v>0</v>
      </c>
      <c r="AM80" s="160" t="n">
        <v>-1</v>
      </c>
      <c r="AN80" s="163" t="n">
        <v>0</v>
      </c>
      <c r="AO80" s="163" t="n">
        <v>0</v>
      </c>
      <c r="AP80" s="166" t="n">
        <v>0</v>
      </c>
      <c r="AQ80" s="169" t="n">
        <v>0</v>
      </c>
      <c r="AR80" s="172" t="n">
        <v>0</v>
      </c>
      <c r="AS80" s="175" t="n">
        <v>0</v>
      </c>
      <c r="AT80" s="178" t="n">
        <v>0</v>
      </c>
      <c r="AU80" s="178" t="n">
        <v>0</v>
      </c>
      <c r="AV80" s="181" t="n">
        <v>0</v>
      </c>
      <c r="AW80" s="183" t="n">
        <v>0</v>
      </c>
      <c r="AX80" s="184" t="n">
        <v>1</v>
      </c>
      <c r="AY80" s="187" t="n">
        <v>0</v>
      </c>
      <c r="AZ80" s="189" t="n">
        <v>0</v>
      </c>
      <c r="BA80" s="192" t="n">
        <v>-1</v>
      </c>
      <c r="BB80" s="196" t="n">
        <v>0</v>
      </c>
      <c r="BC80" s="199" t="n">
        <v>0</v>
      </c>
      <c r="BD80" s="202" t="n">
        <v>0</v>
      </c>
      <c r="BE80" s="205" t="n">
        <v>0</v>
      </c>
      <c r="BF80" s="205" t="n">
        <v>0</v>
      </c>
      <c r="BG80" s="208" t="n">
        <v>0</v>
      </c>
      <c r="BH80" s="211" t="n">
        <v>0</v>
      </c>
      <c r="BI80" s="210" t="n">
        <v>1</v>
      </c>
      <c r="BJ80" s="211" t="n">
        <v>0</v>
      </c>
      <c r="BK80" s="211" t="n">
        <v>0</v>
      </c>
      <c r="BL80" s="211" t="n">
        <v>0</v>
      </c>
      <c r="BM80" s="211" t="n">
        <v>0</v>
      </c>
      <c r="BN80" s="214" t="n">
        <v>1</v>
      </c>
      <c r="BO80" s="215" t="n">
        <v>0</v>
      </c>
      <c r="BP80" s="215" t="n">
        <v>0</v>
      </c>
      <c r="BQ80" s="215" t="n">
        <v>0</v>
      </c>
    </row>
    <row r="81" ht="15.75" customHeight="1" thickBot="1">
      <c r="A81" s="67" t="inlineStr">
        <is>
          <t>https://open.spotify.com/playlist/1CdTHP9tAG7XXHPZYPCmuE</t>
        </is>
      </c>
      <c r="B81" s="38" t="inlineStr">
        <is>
          <t>Songs to Model Walk To | Fierce Runway Playlist | Confidence &amp; Catwalk Energy🏋️</t>
        </is>
      </c>
      <c r="C81" s="37" t="inlineStr">
        <is>
          <t>1CdTHP9tAG7XXHPZYPCmuE</t>
        </is>
      </c>
      <c r="D81" s="53" t="n">
        <v>38</v>
      </c>
      <c r="E81" s="50" t="n">
        <v>2</v>
      </c>
      <c r="F81" s="50" t="n">
        <v>1</v>
      </c>
      <c r="G81" s="48" t="n">
        <v>0</v>
      </c>
      <c r="H81" s="48" t="n">
        <v>2</v>
      </c>
      <c r="I81" s="71" t="n">
        <v>0</v>
      </c>
      <c r="J81" s="73" t="n">
        <v>2</v>
      </c>
      <c r="K81" s="77" t="n">
        <v>1</v>
      </c>
      <c r="L81" s="80" t="n">
        <v>0</v>
      </c>
      <c r="M81" s="82" t="n">
        <v>2</v>
      </c>
      <c r="N81" s="86" t="n">
        <v>0</v>
      </c>
      <c r="O81" s="89" t="n">
        <v>1</v>
      </c>
      <c r="P81" s="92" t="n">
        <v>1</v>
      </c>
      <c r="Q81" s="95" t="n">
        <v>1</v>
      </c>
      <c r="R81" s="98" t="n">
        <v>0</v>
      </c>
      <c r="S81" s="101" t="n">
        <v>1</v>
      </c>
      <c r="T81" s="104" t="n">
        <v>1</v>
      </c>
      <c r="U81" s="108" t="n">
        <v>0</v>
      </c>
      <c r="V81" s="111" t="n">
        <v>0</v>
      </c>
      <c r="W81" s="113" t="n">
        <v>1</v>
      </c>
      <c r="X81" s="117" t="n">
        <v>0</v>
      </c>
      <c r="Y81" s="119" t="n">
        <v>1</v>
      </c>
      <c r="Z81" s="121" t="n">
        <v>2</v>
      </c>
      <c r="AA81" s="126" t="n">
        <v>2</v>
      </c>
      <c r="AB81" s="129" t="n">
        <v>1</v>
      </c>
      <c r="AC81" s="133" t="n">
        <v>0</v>
      </c>
      <c r="AD81" s="135" t="n">
        <v>1</v>
      </c>
      <c r="AE81" s="138" t="n">
        <v>0</v>
      </c>
      <c r="AF81" s="142" t="n">
        <v>0</v>
      </c>
      <c r="AG81" s="145" t="n">
        <v>0</v>
      </c>
      <c r="AH81" s="148" t="n">
        <v>0</v>
      </c>
      <c r="AI81" s="150" t="n">
        <v>1</v>
      </c>
      <c r="AJ81" s="154" t="n">
        <v>0</v>
      </c>
      <c r="AK81" s="152" t="n">
        <v>1</v>
      </c>
      <c r="AL81" s="157" t="n">
        <v>1</v>
      </c>
      <c r="AM81" s="160" t="n">
        <v>0</v>
      </c>
      <c r="AN81" s="162" t="n">
        <v>1</v>
      </c>
      <c r="AO81" s="162" t="n">
        <v>0</v>
      </c>
      <c r="AP81" s="166" t="n">
        <v>0</v>
      </c>
      <c r="AQ81" s="169" t="n">
        <v>0</v>
      </c>
      <c r="AR81" s="172" t="n">
        <v>0</v>
      </c>
      <c r="AS81" s="175" t="n">
        <v>-2</v>
      </c>
      <c r="AT81" s="178" t="n">
        <v>0</v>
      </c>
      <c r="AU81" s="178" t="n">
        <v>0</v>
      </c>
      <c r="AV81" s="181" t="n">
        <v>0</v>
      </c>
      <c r="AW81" s="183" t="n">
        <v>0</v>
      </c>
      <c r="AX81" s="183" t="n">
        <v>0</v>
      </c>
      <c r="AY81" s="186" t="n">
        <v>1</v>
      </c>
      <c r="AZ81" s="189" t="n">
        <v>0</v>
      </c>
      <c r="BA81" s="192" t="n">
        <v>0</v>
      </c>
      <c r="BB81" s="194" t="n">
        <v>1</v>
      </c>
      <c r="BC81" s="199" t="n">
        <v>-1</v>
      </c>
      <c r="BD81" s="201" t="n">
        <v>1</v>
      </c>
      <c r="BE81" s="205" t="n">
        <v>0</v>
      </c>
      <c r="BF81" s="205" t="n">
        <v>0</v>
      </c>
      <c r="BG81" s="207" t="n">
        <v>1</v>
      </c>
      <c r="BH81" s="211" t="n">
        <v>0</v>
      </c>
      <c r="BI81" s="211" t="n">
        <v>-1</v>
      </c>
      <c r="BJ81" s="211" t="n">
        <v>0</v>
      </c>
      <c r="BK81" s="211" t="n">
        <v>0</v>
      </c>
      <c r="BL81" s="211" t="n">
        <v>0</v>
      </c>
      <c r="BM81" s="211" t="n">
        <v>0</v>
      </c>
      <c r="BN81" s="215" t="n">
        <v>-1</v>
      </c>
      <c r="BO81" s="215" t="n">
        <v>0</v>
      </c>
      <c r="BP81" s="215" t="n">
        <v>0</v>
      </c>
      <c r="BQ81" s="215" t="n">
        <v>0</v>
      </c>
    </row>
    <row r="82" ht="15.75" customHeight="1" thickBot="1">
      <c r="A82" s="67" t="inlineStr">
        <is>
          <t>https://open.spotify.com/playlist/0VfOUmxAsdiM7oYqu79GEN</t>
        </is>
      </c>
      <c r="B82" s="39" t="inlineStr">
        <is>
          <t>Sports Pump Up Music 2026 | Intense Training &amp; Workout Hype Songs for Athletes and Motivation</t>
        </is>
      </c>
      <c r="C82" s="38" t="inlineStr">
        <is>
          <t>0VfOUmxAsdiM7oYqu79GEN</t>
        </is>
      </c>
      <c r="D82" s="53" t="n">
        <v>96</v>
      </c>
      <c r="E82" s="50" t="n">
        <v>2</v>
      </c>
      <c r="F82" s="50" t="n">
        <v>1</v>
      </c>
      <c r="G82" s="48" t="n">
        <v>1</v>
      </c>
      <c r="H82" s="48" t="n">
        <v>0</v>
      </c>
      <c r="I82" s="71" t="n">
        <v>0</v>
      </c>
      <c r="J82" s="73" t="n">
        <v>2</v>
      </c>
      <c r="K82" s="77" t="n">
        <v>3</v>
      </c>
      <c r="L82" s="79" t="n">
        <v>1</v>
      </c>
      <c r="M82" s="82" t="n">
        <v>1</v>
      </c>
      <c r="N82" s="85" t="n">
        <v>3</v>
      </c>
      <c r="O82" s="89" t="n">
        <v>3</v>
      </c>
      <c r="P82" s="92" t="n">
        <v>1</v>
      </c>
      <c r="Q82" s="96" t="n">
        <v>0</v>
      </c>
      <c r="R82" s="97" t="n">
        <v>4</v>
      </c>
      <c r="S82" s="101" t="n">
        <v>1</v>
      </c>
      <c r="T82" s="104" t="n">
        <v>2</v>
      </c>
      <c r="U82" s="107" t="n">
        <v>2</v>
      </c>
      <c r="V82" s="110" t="n">
        <v>1</v>
      </c>
      <c r="W82" s="113" t="n">
        <v>1</v>
      </c>
      <c r="X82" s="116" t="n">
        <v>1</v>
      </c>
      <c r="Y82" s="119" t="n">
        <v>2</v>
      </c>
      <c r="Z82" s="122" t="n">
        <v>4</v>
      </c>
      <c r="AA82" s="126" t="n">
        <v>1</v>
      </c>
      <c r="AB82" s="129" t="n">
        <v>1</v>
      </c>
      <c r="AC82" s="132" t="n">
        <v>1</v>
      </c>
      <c r="AD82" s="134" t="n">
        <v>4</v>
      </c>
      <c r="AE82" s="139" t="n">
        <v>2</v>
      </c>
      <c r="AF82" s="141" t="n">
        <v>1</v>
      </c>
      <c r="AG82" s="144" t="n">
        <v>2</v>
      </c>
      <c r="AH82" s="147" t="n">
        <v>1</v>
      </c>
      <c r="AI82" s="151" t="n">
        <v>0</v>
      </c>
      <c r="AJ82" s="152" t="n">
        <v>2</v>
      </c>
      <c r="AK82" s="154" t="n">
        <v>-1</v>
      </c>
      <c r="AL82" s="157" t="n">
        <v>1</v>
      </c>
      <c r="AM82" s="159" t="n">
        <v>1</v>
      </c>
      <c r="AN82" s="162" t="n">
        <v>1</v>
      </c>
      <c r="AO82" s="162" t="n">
        <v>1</v>
      </c>
      <c r="AP82" s="165" t="n">
        <v>2</v>
      </c>
      <c r="AQ82" s="168" t="n">
        <v>1</v>
      </c>
      <c r="AR82" s="171" t="n">
        <v>1</v>
      </c>
      <c r="AS82" s="174" t="n">
        <v>3</v>
      </c>
      <c r="AT82" s="177" t="n">
        <v>2</v>
      </c>
      <c r="AU82" s="178" t="n">
        <v>0</v>
      </c>
      <c r="AV82" s="180" t="n">
        <v>1</v>
      </c>
      <c r="AW82" s="184" t="n">
        <v>1</v>
      </c>
      <c r="AX82" s="183" t="n">
        <v>-2</v>
      </c>
      <c r="AY82" s="187" t="n">
        <v>-1</v>
      </c>
      <c r="AZ82" s="189" t="n">
        <v>0</v>
      </c>
      <c r="BA82" s="191" t="n">
        <v>1</v>
      </c>
      <c r="BB82" s="194" t="n">
        <v>1</v>
      </c>
      <c r="BC82" s="198" t="n">
        <v>1</v>
      </c>
      <c r="BD82" s="201" t="n">
        <v>2</v>
      </c>
      <c r="BE82" s="204" t="n">
        <v>2</v>
      </c>
      <c r="BF82" s="204" t="n">
        <v>1</v>
      </c>
      <c r="BG82" s="207" t="n">
        <v>1</v>
      </c>
      <c r="BH82" s="211" t="n">
        <v>0</v>
      </c>
      <c r="BI82" s="209" t="n">
        <v>4</v>
      </c>
      <c r="BJ82" s="211" t="n">
        <v>0</v>
      </c>
      <c r="BK82" s="211" t="n">
        <v>0</v>
      </c>
      <c r="BL82" s="210" t="n">
        <v>1</v>
      </c>
      <c r="BM82" s="210" t="n">
        <v>1</v>
      </c>
      <c r="BN82" s="214" t="n">
        <v>1</v>
      </c>
      <c r="BO82" s="215" t="n">
        <v>0</v>
      </c>
      <c r="BP82" s="215" t="n">
        <v>0</v>
      </c>
      <c r="BQ82" s="215" t="n">
        <v>0</v>
      </c>
    </row>
    <row r="83" ht="15.75" customHeight="1" thickBot="1">
      <c r="A83" s="67" t="inlineStr">
        <is>
          <t>https://open.spotify.com/playlist/0Wn9w8KeUNvmlwb6vpi8mN</t>
        </is>
      </c>
      <c r="B83" s="39" t="inlineStr">
        <is>
          <t>Classical Techno Music 2026🎻 Orchestral Rave | Symphonic Techno | Epic Classical Electronic playlist</t>
        </is>
      </c>
      <c r="C83" s="39" t="inlineStr">
        <is>
          <t>0Wn9w8KeUNvmlwb6vpi8mN</t>
        </is>
      </c>
      <c r="D83" s="53" t="n">
        <v>240</v>
      </c>
      <c r="E83" s="50" t="n">
        <v>6</v>
      </c>
      <c r="F83" s="50" t="n">
        <v>3</v>
      </c>
      <c r="G83" s="48" t="n">
        <v>7</v>
      </c>
      <c r="H83" s="48" t="n">
        <v>5</v>
      </c>
      <c r="I83" s="69" t="n">
        <v>5</v>
      </c>
      <c r="J83" s="72" t="n">
        <v>5</v>
      </c>
      <c r="K83" s="75" t="n">
        <v>4</v>
      </c>
      <c r="L83" s="79" t="n">
        <v>3</v>
      </c>
      <c r="M83" s="81" t="n">
        <v>5</v>
      </c>
      <c r="N83" s="86" t="n">
        <v>0</v>
      </c>
      <c r="O83" s="88" t="n">
        <v>5</v>
      </c>
      <c r="P83" s="91" t="n">
        <v>4</v>
      </c>
      <c r="Q83" s="94" t="n">
        <v>4</v>
      </c>
      <c r="R83" s="97" t="n">
        <v>6</v>
      </c>
      <c r="S83" s="101" t="n">
        <v>2</v>
      </c>
      <c r="T83" s="103" t="n">
        <v>5</v>
      </c>
      <c r="U83" s="107" t="n">
        <v>1</v>
      </c>
      <c r="V83" s="110" t="n">
        <v>3</v>
      </c>
      <c r="W83" s="113" t="n">
        <v>3</v>
      </c>
      <c r="X83" s="115" t="n">
        <v>5</v>
      </c>
      <c r="Y83" s="118" t="n">
        <v>7</v>
      </c>
      <c r="Z83" s="122" t="n">
        <v>7</v>
      </c>
      <c r="AA83" s="125" t="n">
        <v>6</v>
      </c>
      <c r="AB83" s="128" t="n">
        <v>8</v>
      </c>
      <c r="AC83" s="131" t="n">
        <v>6</v>
      </c>
      <c r="AD83" s="134" t="n">
        <v>5</v>
      </c>
      <c r="AE83" s="138" t="n">
        <v>0</v>
      </c>
      <c r="AF83" s="141" t="n">
        <v>2</v>
      </c>
      <c r="AG83" s="144" t="n">
        <v>1</v>
      </c>
      <c r="AH83" s="147" t="n">
        <v>2</v>
      </c>
      <c r="AI83" s="149" t="n">
        <v>6</v>
      </c>
      <c r="AJ83" s="152" t="n">
        <v>1</v>
      </c>
      <c r="AK83" s="152" t="n">
        <v>1</v>
      </c>
      <c r="AL83" s="155" t="n">
        <v>5</v>
      </c>
      <c r="AM83" s="158" t="n">
        <v>5</v>
      </c>
      <c r="AN83" s="162" t="n">
        <v>1</v>
      </c>
      <c r="AO83" s="162" t="n">
        <v>1</v>
      </c>
      <c r="AP83" s="166" t="n">
        <v>0</v>
      </c>
      <c r="AQ83" s="167" t="n">
        <v>4</v>
      </c>
      <c r="AR83" s="171" t="n">
        <v>1</v>
      </c>
      <c r="AS83" s="174" t="n">
        <v>3</v>
      </c>
      <c r="AT83" s="176" t="n">
        <v>4</v>
      </c>
      <c r="AU83" s="176" t="n">
        <v>4</v>
      </c>
      <c r="AV83" s="180" t="n">
        <v>3</v>
      </c>
      <c r="AW83" s="184" t="n">
        <v>1</v>
      </c>
      <c r="AX83" s="183" t="n">
        <v>0</v>
      </c>
      <c r="AY83" s="186" t="n">
        <v>2</v>
      </c>
      <c r="AZ83" s="190" t="n">
        <v>3</v>
      </c>
      <c r="BA83" s="192" t="n">
        <v>0</v>
      </c>
      <c r="BB83" s="194" t="n">
        <v>2</v>
      </c>
      <c r="BC83" s="198" t="n">
        <v>3</v>
      </c>
      <c r="BD83" s="202" t="n">
        <v>0</v>
      </c>
      <c r="BE83" s="204" t="n">
        <v>2</v>
      </c>
      <c r="BF83" s="204" t="n">
        <v>1</v>
      </c>
      <c r="BG83" s="206" t="n">
        <v>6</v>
      </c>
      <c r="BH83" s="210" t="n">
        <v>3</v>
      </c>
      <c r="BI83" s="210" t="n">
        <v>1</v>
      </c>
      <c r="BJ83" s="209" t="n">
        <v>4</v>
      </c>
      <c r="BK83" s="210" t="n">
        <v>2</v>
      </c>
      <c r="BL83" s="210" t="n">
        <v>2</v>
      </c>
      <c r="BM83" s="210" t="n">
        <v>1</v>
      </c>
      <c r="BN83" s="215" t="n">
        <v>0</v>
      </c>
      <c r="BO83" s="216" t="n">
        <v>4</v>
      </c>
      <c r="BP83" s="215" t="n">
        <v>0</v>
      </c>
      <c r="BQ83" s="214" t="n">
        <v>1</v>
      </c>
    </row>
    <row r="84" ht="15.75" customHeight="1" thickBot="1">
      <c r="A84" s="67" t="inlineStr">
        <is>
          <t>https://open.spotify.com/playlist/0Qg61cV1AaUkBG3S75W5tw</t>
        </is>
      </c>
      <c r="B84" s="39" t="inlineStr">
        <is>
          <t>Depressing Songs for the Boys - Sad Boy Hours &amp; Heartbreak</t>
        </is>
      </c>
      <c r="C84" s="39" t="inlineStr">
        <is>
          <t>0Qg61cV1AaUkBG3S75W5tw</t>
        </is>
      </c>
      <c r="D84" s="53" t="n">
        <v>202</v>
      </c>
      <c r="E84" s="50" t="n">
        <v>0</v>
      </c>
      <c r="F84" s="50" t="n">
        <v>4</v>
      </c>
      <c r="G84" s="48" t="n">
        <v>1</v>
      </c>
      <c r="H84" s="48" t="n">
        <v>2</v>
      </c>
      <c r="I84" s="70" t="n">
        <v>3</v>
      </c>
      <c r="J84" s="72" t="n">
        <v>5</v>
      </c>
      <c r="K84" s="77" t="n">
        <v>2</v>
      </c>
      <c r="L84" s="78" t="n">
        <v>7</v>
      </c>
      <c r="M84" s="82" t="n">
        <v>3</v>
      </c>
      <c r="N84" s="84" t="n">
        <v>7</v>
      </c>
      <c r="O84" s="89" t="n">
        <v>2</v>
      </c>
      <c r="P84" s="92" t="n">
        <v>3</v>
      </c>
      <c r="Q84" s="94" t="n">
        <v>8</v>
      </c>
      <c r="R84" s="99" t="n">
        <v>3</v>
      </c>
      <c r="S84" s="101" t="n">
        <v>2</v>
      </c>
      <c r="T84" s="104" t="n">
        <v>1</v>
      </c>
      <c r="U84" s="107" t="n">
        <v>3</v>
      </c>
      <c r="V84" s="111" t="n">
        <v>-1</v>
      </c>
      <c r="W84" s="112" t="n">
        <v>4</v>
      </c>
      <c r="X84" s="115" t="n">
        <v>6</v>
      </c>
      <c r="Y84" s="118" t="n">
        <v>4</v>
      </c>
      <c r="Z84" s="122" t="n">
        <v>5</v>
      </c>
      <c r="AA84" s="125" t="n">
        <v>5</v>
      </c>
      <c r="AB84" s="130" t="n">
        <v>0</v>
      </c>
      <c r="AC84" s="131" t="n">
        <v>4</v>
      </c>
      <c r="AD84" s="136" t="n">
        <v>0</v>
      </c>
      <c r="AE84" s="139" t="n">
        <v>1</v>
      </c>
      <c r="AF84" s="140" t="n">
        <v>4</v>
      </c>
      <c r="AG84" s="143" t="n">
        <v>4</v>
      </c>
      <c r="AH84" s="147" t="n">
        <v>2</v>
      </c>
      <c r="AI84" s="149" t="n">
        <v>4</v>
      </c>
      <c r="AJ84" s="154" t="n">
        <v>0</v>
      </c>
      <c r="AK84" s="153" t="n">
        <v>4</v>
      </c>
      <c r="AL84" s="155" t="n">
        <v>5</v>
      </c>
      <c r="AM84" s="158" t="n">
        <v>4</v>
      </c>
      <c r="AN84" s="162" t="n">
        <v>1</v>
      </c>
      <c r="AO84" s="162" t="n">
        <v>1</v>
      </c>
      <c r="AP84" s="165" t="n">
        <v>1</v>
      </c>
      <c r="AQ84" s="168" t="n">
        <v>3</v>
      </c>
      <c r="AR84" s="172" t="n">
        <v>0</v>
      </c>
      <c r="AS84" s="174" t="n">
        <v>2</v>
      </c>
      <c r="AT84" s="177" t="n">
        <v>3</v>
      </c>
      <c r="AU84" s="177" t="n">
        <v>3</v>
      </c>
      <c r="AV84" s="180" t="n">
        <v>2</v>
      </c>
      <c r="AW84" s="183" t="n">
        <v>-2</v>
      </c>
      <c r="AX84" s="182" t="n">
        <v>4</v>
      </c>
      <c r="AY84" s="186" t="n">
        <v>1</v>
      </c>
      <c r="AZ84" s="189" t="n">
        <v>0</v>
      </c>
      <c r="BA84" s="191" t="n">
        <v>1</v>
      </c>
      <c r="BB84" s="196" t="n">
        <v>0</v>
      </c>
      <c r="BC84" s="199" t="n">
        <v>-1</v>
      </c>
      <c r="BD84" s="202" t="n">
        <v>0</v>
      </c>
      <c r="BE84" s="205" t="n">
        <v>0</v>
      </c>
      <c r="BF84" s="204" t="n">
        <v>1</v>
      </c>
      <c r="BG84" s="207" t="n">
        <v>2</v>
      </c>
      <c r="BH84" s="210" t="n">
        <v>1</v>
      </c>
      <c r="BI84" s="210" t="n">
        <v>3</v>
      </c>
      <c r="BJ84" s="211" t="n">
        <v>0</v>
      </c>
      <c r="BK84" s="211" t="n">
        <v>0</v>
      </c>
      <c r="BL84" s="210" t="n">
        <v>1</v>
      </c>
      <c r="BM84" s="210" t="n">
        <v>1</v>
      </c>
      <c r="BN84" s="215" t="n">
        <v>0</v>
      </c>
      <c r="BO84" s="215" t="n">
        <v>-1</v>
      </c>
      <c r="BP84" s="215" t="n">
        <v>0</v>
      </c>
      <c r="BQ84" s="214" t="n">
        <v>1</v>
      </c>
    </row>
    <row r="85" ht="15.75" customHeight="1" thickBot="1">
      <c r="A85" s="67" t="inlineStr">
        <is>
          <t>https://open.spotify.com/playlist/6okroU3VKUgel9tXzro2hq</t>
        </is>
      </c>
      <c r="B85" s="39" t="inlineStr">
        <is>
          <t>Dark Romance – Toxic Love &amp; Obsessive Vibes</t>
        </is>
      </c>
      <c r="C85" s="39" t="inlineStr">
        <is>
          <t>6okroU3VKUgel9tXzro2hq</t>
        </is>
      </c>
      <c r="D85" s="53" t="n">
        <v>145</v>
      </c>
      <c r="E85" s="50" t="n">
        <v>1</v>
      </c>
      <c r="F85" s="50" t="n">
        <v>1</v>
      </c>
      <c r="G85" s="48" t="n">
        <v>2</v>
      </c>
      <c r="H85" s="48" t="n">
        <v>1</v>
      </c>
      <c r="I85" s="69" t="n">
        <v>4</v>
      </c>
      <c r="J85" s="73" t="n">
        <v>1</v>
      </c>
      <c r="K85" s="77" t="n">
        <v>2</v>
      </c>
      <c r="L85" s="79" t="n">
        <v>1</v>
      </c>
      <c r="M85" s="81" t="n">
        <v>7</v>
      </c>
      <c r="N85" s="84" t="n">
        <v>4</v>
      </c>
      <c r="O85" s="89" t="n">
        <v>2</v>
      </c>
      <c r="P85" s="92" t="n">
        <v>1</v>
      </c>
      <c r="Q85" s="95" t="n">
        <v>1</v>
      </c>
      <c r="R85" s="99" t="n">
        <v>3</v>
      </c>
      <c r="S85" s="101" t="n">
        <v>3</v>
      </c>
      <c r="T85" s="104" t="n">
        <v>2</v>
      </c>
      <c r="U85" s="107" t="n">
        <v>2</v>
      </c>
      <c r="V85" s="110" t="n">
        <v>1</v>
      </c>
      <c r="W85" s="112" t="n">
        <v>8</v>
      </c>
      <c r="X85" s="115" t="n">
        <v>4</v>
      </c>
      <c r="Y85" s="119" t="n">
        <v>3</v>
      </c>
      <c r="Z85" s="121" t="n">
        <v>2</v>
      </c>
      <c r="AA85" s="126" t="n">
        <v>1</v>
      </c>
      <c r="AB85" s="129" t="n">
        <v>2</v>
      </c>
      <c r="AC85" s="133" t="n">
        <v>0</v>
      </c>
      <c r="AD85" s="134" t="n">
        <v>4</v>
      </c>
      <c r="AE85" s="139" t="n">
        <v>1</v>
      </c>
      <c r="AF85" s="141" t="n">
        <v>2</v>
      </c>
      <c r="AG85" s="144" t="n">
        <v>3</v>
      </c>
      <c r="AH85" s="146" t="n">
        <v>4</v>
      </c>
      <c r="AI85" s="150" t="n">
        <v>1</v>
      </c>
      <c r="AJ85" s="154" t="n">
        <v>0</v>
      </c>
      <c r="AK85" s="152" t="n">
        <v>3</v>
      </c>
      <c r="AL85" s="157" t="n">
        <v>3</v>
      </c>
      <c r="AM85" s="159" t="n">
        <v>1</v>
      </c>
      <c r="AN85" s="161" t="n">
        <v>3</v>
      </c>
      <c r="AO85" s="161" t="n">
        <v>2</v>
      </c>
      <c r="AP85" s="165" t="n">
        <v>1</v>
      </c>
      <c r="AQ85" s="168" t="n">
        <v>2</v>
      </c>
      <c r="AR85" s="172" t="n">
        <v>0</v>
      </c>
      <c r="AS85" s="175" t="n">
        <v>0</v>
      </c>
      <c r="AT85" s="177" t="n">
        <v>3</v>
      </c>
      <c r="AU85" s="176" t="n">
        <v>5</v>
      </c>
      <c r="AV85" s="180" t="n">
        <v>2</v>
      </c>
      <c r="AW85" s="184" t="n">
        <v>1</v>
      </c>
      <c r="AX85" s="183" t="n">
        <v>0</v>
      </c>
      <c r="AY85" s="187" t="n">
        <v>0</v>
      </c>
      <c r="AZ85" s="190" t="n">
        <v>1</v>
      </c>
      <c r="BA85" s="192" t="n">
        <v>0</v>
      </c>
      <c r="BB85" s="194" t="n">
        <v>1</v>
      </c>
      <c r="BC85" s="198" t="n">
        <v>2</v>
      </c>
      <c r="BD85" s="201" t="n">
        <v>1</v>
      </c>
      <c r="BE85" s="205" t="n">
        <v>0</v>
      </c>
      <c r="BF85" s="205" t="n">
        <v>0</v>
      </c>
      <c r="BG85" s="206" t="n">
        <v>4</v>
      </c>
      <c r="BH85" s="211" t="n">
        <v>0</v>
      </c>
      <c r="BI85" s="210" t="n">
        <v>2</v>
      </c>
      <c r="BJ85" s="210" t="n">
        <v>1</v>
      </c>
      <c r="BK85" s="210" t="n">
        <v>1</v>
      </c>
      <c r="BL85" s="211" t="n">
        <v>0</v>
      </c>
      <c r="BM85" s="210" t="n">
        <v>2</v>
      </c>
      <c r="BN85" s="215" t="n">
        <v>0</v>
      </c>
      <c r="BO85" s="214" t="n">
        <v>2</v>
      </c>
      <c r="BP85" s="214" t="n">
        <v>2</v>
      </c>
      <c r="BQ85" s="214" t="n">
        <v>2</v>
      </c>
    </row>
    <row r="86" ht="15.75" customHeight="1" thickBot="1">
      <c r="A86" s="67" t="inlineStr">
        <is>
          <t>https://open.spotify.com/playlist/6lE7jjOd6f8rXQq8qtjZKH</t>
        </is>
      </c>
      <c r="B86" s="39" t="inlineStr">
        <is>
          <t>Street Racing Vibes | Night Drive Music | Bass Boosted Car Playlist | High Speed Energy🎵</t>
        </is>
      </c>
      <c r="C86" s="39" t="inlineStr">
        <is>
          <t>6lE7jjOd6f8rXQq8qtjZKH</t>
        </is>
      </c>
      <c r="D86" s="53" t="n">
        <v>73</v>
      </c>
      <c r="E86" s="50" t="n">
        <v>1</v>
      </c>
      <c r="F86" s="50" t="n">
        <v>1</v>
      </c>
      <c r="G86" s="48" t="n">
        <v>0</v>
      </c>
      <c r="H86" s="48" t="n">
        <v>0</v>
      </c>
      <c r="I86" s="70" t="n">
        <v>1</v>
      </c>
      <c r="J86" s="73" t="n">
        <v>1</v>
      </c>
      <c r="K86" s="77" t="n">
        <v>1</v>
      </c>
      <c r="L86" s="79" t="n">
        <v>2</v>
      </c>
      <c r="M86" s="82" t="n">
        <v>2</v>
      </c>
      <c r="N86" s="85" t="n">
        <v>1</v>
      </c>
      <c r="O86" s="89" t="n">
        <v>3</v>
      </c>
      <c r="P86" s="92" t="n">
        <v>3</v>
      </c>
      <c r="Q86" s="96" t="n">
        <v>0</v>
      </c>
      <c r="R86" s="98" t="n">
        <v>0</v>
      </c>
      <c r="S86" s="101" t="n">
        <v>1</v>
      </c>
      <c r="T86" s="104" t="n">
        <v>2</v>
      </c>
      <c r="U86" s="108" t="n">
        <v>0</v>
      </c>
      <c r="V86" s="110" t="n">
        <v>1</v>
      </c>
      <c r="W86" s="113" t="n">
        <v>2</v>
      </c>
      <c r="X86" s="116" t="n">
        <v>3</v>
      </c>
      <c r="Y86" s="118" t="n">
        <v>7</v>
      </c>
      <c r="Z86" s="123" t="n">
        <v>0</v>
      </c>
      <c r="AA86" s="125" t="n">
        <v>4</v>
      </c>
      <c r="AB86" s="130" t="n">
        <v>-1</v>
      </c>
      <c r="AC86" s="132" t="n">
        <v>1</v>
      </c>
      <c r="AD86" s="135" t="n">
        <v>2</v>
      </c>
      <c r="AE86" s="139" t="n">
        <v>2</v>
      </c>
      <c r="AF86" s="142" t="n">
        <v>0</v>
      </c>
      <c r="AG86" s="145" t="n">
        <v>0</v>
      </c>
      <c r="AH86" s="148" t="n">
        <v>0</v>
      </c>
      <c r="AI86" s="150" t="n">
        <v>1</v>
      </c>
      <c r="AJ86" s="152" t="n">
        <v>1</v>
      </c>
      <c r="AK86" s="152" t="n">
        <v>2</v>
      </c>
      <c r="AL86" s="156" t="n">
        <v>0</v>
      </c>
      <c r="AM86" s="159" t="n">
        <v>2</v>
      </c>
      <c r="AN86" s="163" t="n">
        <v>0</v>
      </c>
      <c r="AO86" s="163" t="n">
        <v>0</v>
      </c>
      <c r="AP86" s="166" t="n">
        <v>0</v>
      </c>
      <c r="AQ86" s="168" t="n">
        <v>1</v>
      </c>
      <c r="AR86" s="172" t="n">
        <v>0</v>
      </c>
      <c r="AS86" s="174" t="n">
        <v>1</v>
      </c>
      <c r="AT86" s="177" t="n">
        <v>1</v>
      </c>
      <c r="AU86" s="178" t="n">
        <v>0</v>
      </c>
      <c r="AV86" s="180" t="n">
        <v>1</v>
      </c>
      <c r="AW86" s="183" t="n">
        <v>0</v>
      </c>
      <c r="AX86" s="184" t="n">
        <v>1</v>
      </c>
      <c r="AY86" s="187" t="n">
        <v>0</v>
      </c>
      <c r="AZ86" s="189" t="n">
        <v>0</v>
      </c>
      <c r="BA86" s="191" t="n">
        <v>1</v>
      </c>
      <c r="BB86" s="196" t="n">
        <v>0</v>
      </c>
      <c r="BC86" s="199" t="n">
        <v>0</v>
      </c>
      <c r="BD86" s="202" t="n">
        <v>0</v>
      </c>
      <c r="BE86" s="205" t="n">
        <v>0</v>
      </c>
      <c r="BF86" s="204" t="n">
        <v>1</v>
      </c>
      <c r="BG86" s="207" t="n">
        <v>1</v>
      </c>
      <c r="BH86" s="211" t="n">
        <v>0</v>
      </c>
      <c r="BI86" s="211" t="n">
        <v>0</v>
      </c>
      <c r="BJ86" s="211" t="n">
        <v>-1</v>
      </c>
      <c r="BK86" s="211" t="n">
        <v>0</v>
      </c>
      <c r="BL86" s="211" t="n">
        <v>-1</v>
      </c>
      <c r="BM86" s="210" t="n">
        <v>1</v>
      </c>
      <c r="BN86" s="215" t="n">
        <v>0</v>
      </c>
      <c r="BO86" s="214" t="n">
        <v>1</v>
      </c>
      <c r="BP86" s="215" t="n">
        <v>0</v>
      </c>
      <c r="BQ86" s="214" t="n">
        <v>1</v>
      </c>
    </row>
    <row r="87" ht="15.75" customHeight="1" thickBot="1">
      <c r="A87" s="68" t="inlineStr">
        <is>
          <t>https://open.spotify.com/playlist/1sXtoKhyE0V2TVr1j6rNKR</t>
        </is>
      </c>
      <c r="B87" s="40" t="inlineStr">
        <is>
          <t>AI COVERS OF FAMOUS SONGS 2026 | AI REMIX | VIRAL AI MUSIC | POPULAR HITS REIMAGINED</t>
        </is>
      </c>
      <c r="C87" s="39" t="inlineStr">
        <is>
          <t>1sXtoKhyE0V2TVr1j6rNKR</t>
        </is>
      </c>
      <c r="D87" s="53" t="n">
        <v>442</v>
      </c>
      <c r="E87" s="50" t="n">
        <v>1</v>
      </c>
      <c r="F87" s="50" t="n">
        <v>0</v>
      </c>
      <c r="G87" s="48" t="n">
        <v>6</v>
      </c>
      <c r="H87" s="48" t="n">
        <v>3</v>
      </c>
      <c r="I87" s="70" t="n">
        <v>3</v>
      </c>
      <c r="J87" s="72" t="n">
        <v>11</v>
      </c>
      <c r="K87" s="75" t="n">
        <v>6</v>
      </c>
      <c r="L87" s="78" t="n">
        <v>4</v>
      </c>
      <c r="M87" s="81" t="n">
        <v>4</v>
      </c>
      <c r="N87" s="84" t="n">
        <v>11</v>
      </c>
      <c r="O87" s="88" t="n">
        <v>7</v>
      </c>
      <c r="P87" s="91" t="n">
        <v>7</v>
      </c>
      <c r="Q87" s="94" t="n">
        <v>4</v>
      </c>
      <c r="R87" s="97" t="n">
        <v>8</v>
      </c>
      <c r="S87" s="100" t="n">
        <v>7</v>
      </c>
      <c r="T87" s="103" t="n">
        <v>12</v>
      </c>
      <c r="U87" s="106" t="n">
        <v>6</v>
      </c>
      <c r="V87" s="109" t="n">
        <v>16</v>
      </c>
      <c r="W87" s="112" t="n">
        <v>12</v>
      </c>
      <c r="X87" s="116" t="n">
        <v>3</v>
      </c>
      <c r="Y87" s="118" t="n">
        <v>10</v>
      </c>
      <c r="Z87" s="122" t="n">
        <v>11</v>
      </c>
      <c r="AA87" s="125" t="n">
        <v>5</v>
      </c>
      <c r="AB87" s="128" t="n">
        <v>6</v>
      </c>
      <c r="AC87" s="131" t="n">
        <v>7</v>
      </c>
      <c r="AD87" s="134" t="n">
        <v>10</v>
      </c>
      <c r="AE87" s="137" t="n">
        <v>6</v>
      </c>
      <c r="AF87" s="141" t="n">
        <v>2</v>
      </c>
      <c r="AG87" s="144" t="n">
        <v>3</v>
      </c>
      <c r="AH87" s="147" t="n">
        <v>1</v>
      </c>
      <c r="AI87" s="149" t="n">
        <v>8</v>
      </c>
      <c r="AJ87" s="152" t="n">
        <v>2</v>
      </c>
      <c r="AK87" s="152" t="n">
        <v>2</v>
      </c>
      <c r="AL87" s="155" t="n">
        <v>4</v>
      </c>
      <c r="AM87" s="159" t="n">
        <v>3</v>
      </c>
      <c r="AN87" s="161" t="n">
        <v>5</v>
      </c>
      <c r="AO87" s="161" t="n">
        <v>5</v>
      </c>
      <c r="AP87" s="164" t="n">
        <v>5</v>
      </c>
      <c r="AQ87" s="167" t="n">
        <v>8</v>
      </c>
      <c r="AR87" s="170" t="n">
        <v>4</v>
      </c>
      <c r="AS87" s="173" t="n">
        <v>4</v>
      </c>
      <c r="AT87" s="176" t="n">
        <v>6</v>
      </c>
      <c r="AU87" s="176" t="n">
        <v>5</v>
      </c>
      <c r="AV87" s="179" t="n">
        <v>5</v>
      </c>
      <c r="AW87" s="182" t="n">
        <v>4</v>
      </c>
      <c r="AX87" s="182" t="n">
        <v>4</v>
      </c>
      <c r="AY87" s="185" t="n">
        <v>4</v>
      </c>
      <c r="AZ87" s="188" t="n">
        <v>7</v>
      </c>
      <c r="BA87" s="193" t="n">
        <v>4</v>
      </c>
      <c r="BB87" s="195" t="n">
        <v>8</v>
      </c>
      <c r="BC87" s="198" t="n">
        <v>2</v>
      </c>
      <c r="BD87" s="200" t="n">
        <v>8</v>
      </c>
      <c r="BE87" s="203" t="n">
        <v>10</v>
      </c>
      <c r="BF87" s="204" t="n">
        <v>3</v>
      </c>
      <c r="BG87" s="206" t="n">
        <v>14</v>
      </c>
      <c r="BH87" s="209" t="n">
        <v>11</v>
      </c>
      <c r="BI87" s="209" t="n">
        <v>6</v>
      </c>
      <c r="BJ87" s="209" t="n">
        <v>6</v>
      </c>
      <c r="BK87" s="209" t="n">
        <v>8</v>
      </c>
      <c r="BL87" s="209" t="n">
        <v>7</v>
      </c>
      <c r="BM87" s="209" t="n">
        <v>9</v>
      </c>
      <c r="BN87" s="216" t="n">
        <v>6</v>
      </c>
      <c r="BO87" s="216" t="n">
        <v>4</v>
      </c>
      <c r="BP87" s="214" t="n">
        <v>2</v>
      </c>
      <c r="BQ87" s="214" t="n">
        <v>1</v>
      </c>
    </row>
    <row r="88" ht="15.75" customHeight="1" thickBot="1">
      <c r="A88" s="68" t="inlineStr">
        <is>
          <t>https://open.spotify.com/playlist/52JwAPGr5KhxlVM5R5l8Ou</t>
        </is>
      </c>
      <c r="B88" s="40" t="inlineStr">
        <is>
          <t>Liminal Space / Dreamcore | Surreal Ambient Music | Nostalgic &amp; Eerie Vibes</t>
        </is>
      </c>
      <c r="C88" s="40" t="inlineStr">
        <is>
          <t>52JwAPGr5KhxlVM5R5l8Ou</t>
        </is>
      </c>
      <c r="D88" s="53" t="n">
        <v>104</v>
      </c>
      <c r="E88" s="50" t="n">
        <v>2</v>
      </c>
      <c r="F88" s="50" t="n">
        <v>2</v>
      </c>
      <c r="G88" s="48" t="n">
        <v>6</v>
      </c>
      <c r="H88" s="48" t="n">
        <v>3</v>
      </c>
      <c r="I88" s="69" t="n">
        <v>4</v>
      </c>
      <c r="J88" s="73" t="n">
        <v>2</v>
      </c>
      <c r="K88" s="77" t="n">
        <v>1</v>
      </c>
      <c r="L88" s="79" t="n">
        <v>1</v>
      </c>
      <c r="M88" s="82" t="n">
        <v>1</v>
      </c>
      <c r="N88" s="86" t="n">
        <v>0</v>
      </c>
      <c r="O88" s="89" t="n">
        <v>2</v>
      </c>
      <c r="P88" s="92" t="n">
        <v>1</v>
      </c>
      <c r="Q88" s="95" t="n">
        <v>3</v>
      </c>
      <c r="R88" s="99" t="n">
        <v>2</v>
      </c>
      <c r="S88" s="100" t="n">
        <v>4</v>
      </c>
      <c r="T88" s="104" t="n">
        <v>1</v>
      </c>
      <c r="U88" s="107" t="n">
        <v>1</v>
      </c>
      <c r="V88" s="109" t="n">
        <v>4</v>
      </c>
      <c r="W88" s="112" t="n">
        <v>4</v>
      </c>
      <c r="X88" s="117" t="n">
        <v>0</v>
      </c>
      <c r="Y88" s="119" t="n">
        <v>1</v>
      </c>
      <c r="Z88" s="122" t="n">
        <v>4</v>
      </c>
      <c r="AA88" s="125" t="n">
        <v>4</v>
      </c>
      <c r="AB88" s="130" t="n">
        <v>0</v>
      </c>
      <c r="AC88" s="131" t="n">
        <v>4</v>
      </c>
      <c r="AD88" s="135" t="n">
        <v>3</v>
      </c>
      <c r="AE88" s="139" t="n">
        <v>1</v>
      </c>
      <c r="AF88" s="142" t="n">
        <v>0</v>
      </c>
      <c r="AG88" s="144" t="n">
        <v>3</v>
      </c>
      <c r="AH88" s="147" t="n">
        <v>1</v>
      </c>
      <c r="AI88" s="151" t="n">
        <v>0</v>
      </c>
      <c r="AJ88" s="154" t="n">
        <v>0</v>
      </c>
      <c r="AK88" s="154" t="n">
        <v>0</v>
      </c>
      <c r="AL88" s="157" t="n">
        <v>1</v>
      </c>
      <c r="AM88" s="159" t="n">
        <v>1</v>
      </c>
      <c r="AN88" s="163" t="n">
        <v>0</v>
      </c>
      <c r="AO88" s="163" t="n">
        <v>0</v>
      </c>
      <c r="AP88" s="165" t="n">
        <v>1</v>
      </c>
      <c r="AQ88" s="168" t="n">
        <v>1</v>
      </c>
      <c r="AR88" s="171" t="n">
        <v>2</v>
      </c>
      <c r="AS88" s="174" t="n">
        <v>3</v>
      </c>
      <c r="AT88" s="178" t="n">
        <v>0</v>
      </c>
      <c r="AU88" s="178" t="n">
        <v>0</v>
      </c>
      <c r="AV88" s="180" t="n">
        <v>1</v>
      </c>
      <c r="AW88" s="184" t="n">
        <v>1</v>
      </c>
      <c r="AX88" s="183" t="n">
        <v>0</v>
      </c>
      <c r="AY88" s="187" t="n">
        <v>0</v>
      </c>
      <c r="AZ88" s="189" t="n">
        <v>0</v>
      </c>
      <c r="BA88" s="191" t="n">
        <v>1</v>
      </c>
      <c r="BB88" s="196" t="n">
        <v>0</v>
      </c>
      <c r="BC88" s="198" t="n">
        <v>1</v>
      </c>
      <c r="BD88" s="201" t="n">
        <v>1</v>
      </c>
      <c r="BE88" s="204" t="n">
        <v>1</v>
      </c>
      <c r="BF88" s="205" t="n">
        <v>0</v>
      </c>
      <c r="BG88" s="208" t="n">
        <v>0</v>
      </c>
      <c r="BH88" s="211" t="n">
        <v>0</v>
      </c>
      <c r="BI88" s="210" t="n">
        <v>1</v>
      </c>
      <c r="BJ88" s="211" t="n">
        <v>0</v>
      </c>
      <c r="BK88" s="211" t="n">
        <v>0</v>
      </c>
      <c r="BL88" s="211" t="n">
        <v>0</v>
      </c>
      <c r="BM88" s="211" t="n">
        <v>0</v>
      </c>
      <c r="BN88" s="215" t="n">
        <v>0</v>
      </c>
      <c r="BO88" s="215" t="n">
        <v>0</v>
      </c>
      <c r="BP88" s="215" t="n">
        <v>0</v>
      </c>
      <c r="BQ88" s="215" t="n">
        <v>0</v>
      </c>
    </row>
    <row r="89" ht="15.75" customHeight="1" thickBot="1">
      <c r="A89" s="66" t="inlineStr">
        <is>
          <t>https://open.spotify.com/playlist/4kAG5A3Qy5lSi1IPbQM5wp</t>
        </is>
      </c>
      <c r="B89" s="41" t="inlineStr">
        <is>
          <t xml:space="preserve">Chill Soul Vibes 🥂 | Smooth Soul, Neo Soul &amp; Chill R&amp;B </t>
        </is>
      </c>
      <c r="C89" s="40" t="inlineStr">
        <is>
          <t>4kAG5A3Qy5lSi1IPbQM5wp</t>
        </is>
      </c>
      <c r="D89" s="53" t="n">
        <v>119</v>
      </c>
      <c r="E89" s="50" t="n">
        <v>3</v>
      </c>
      <c r="F89" s="50" t="n">
        <v>2</v>
      </c>
      <c r="G89" s="48" t="n">
        <v>8</v>
      </c>
      <c r="H89" s="48" t="n">
        <v>3</v>
      </c>
      <c r="I89" s="70" t="n">
        <v>1</v>
      </c>
      <c r="J89" s="72" t="n">
        <v>4</v>
      </c>
      <c r="K89" s="75" t="n">
        <v>4</v>
      </c>
      <c r="L89" s="79" t="n">
        <v>2</v>
      </c>
      <c r="M89" s="82" t="n">
        <v>2</v>
      </c>
      <c r="N89" s="85" t="n">
        <v>3</v>
      </c>
      <c r="O89" s="89" t="n">
        <v>2</v>
      </c>
      <c r="P89" s="93" t="n">
        <v>0</v>
      </c>
      <c r="Q89" s="95" t="n">
        <v>1</v>
      </c>
      <c r="R89" s="98" t="n">
        <v>0</v>
      </c>
      <c r="S89" s="101" t="n">
        <v>2</v>
      </c>
      <c r="T89" s="104" t="n">
        <v>1</v>
      </c>
      <c r="U89" s="107" t="n">
        <v>1</v>
      </c>
      <c r="V89" s="109" t="n">
        <v>4</v>
      </c>
      <c r="W89" s="113" t="n">
        <v>2</v>
      </c>
      <c r="X89" s="116" t="n">
        <v>1</v>
      </c>
      <c r="Y89" s="119" t="n">
        <v>3</v>
      </c>
      <c r="Z89" s="122" t="n">
        <v>5</v>
      </c>
      <c r="AA89" s="126" t="n">
        <v>2</v>
      </c>
      <c r="AB89" s="129" t="n">
        <v>1</v>
      </c>
      <c r="AC89" s="132" t="n">
        <v>1</v>
      </c>
      <c r="AD89" s="135" t="n">
        <v>2</v>
      </c>
      <c r="AE89" s="138" t="n">
        <v>0</v>
      </c>
      <c r="AF89" s="140" t="n">
        <v>4</v>
      </c>
      <c r="AG89" s="145" t="n">
        <v>0</v>
      </c>
      <c r="AH89" s="147" t="n">
        <v>1</v>
      </c>
      <c r="AI89" s="151" t="n">
        <v>0</v>
      </c>
      <c r="AJ89" s="154" t="n">
        <v>0</v>
      </c>
      <c r="AK89" s="154" t="n">
        <v>0</v>
      </c>
      <c r="AL89" s="157" t="n">
        <v>1</v>
      </c>
      <c r="AM89" s="160" t="n">
        <v>0</v>
      </c>
      <c r="AN89" s="161" t="n">
        <v>3</v>
      </c>
      <c r="AO89" s="161" t="n">
        <v>2</v>
      </c>
      <c r="AP89" s="166" t="n">
        <v>-1</v>
      </c>
      <c r="AQ89" s="168" t="n">
        <v>3</v>
      </c>
      <c r="AR89" s="171" t="n">
        <v>1</v>
      </c>
      <c r="AS89" s="174" t="n">
        <v>2</v>
      </c>
      <c r="AT89" s="177" t="n">
        <v>2</v>
      </c>
      <c r="AU89" s="178" t="n">
        <v>0</v>
      </c>
      <c r="AV89" s="180" t="n">
        <v>2</v>
      </c>
      <c r="AW89" s="183" t="n">
        <v>0</v>
      </c>
      <c r="AX89" s="183" t="n">
        <v>0</v>
      </c>
      <c r="AY89" s="187" t="n">
        <v>0</v>
      </c>
      <c r="AZ89" s="189" t="n">
        <v>0</v>
      </c>
      <c r="BA89" s="191" t="n">
        <v>1</v>
      </c>
      <c r="BB89" s="196" t="n">
        <v>0</v>
      </c>
      <c r="BC89" s="198" t="n">
        <v>1</v>
      </c>
      <c r="BD89" s="202" t="n">
        <v>0</v>
      </c>
      <c r="BE89" s="205" t="n">
        <v>0</v>
      </c>
      <c r="BF89" s="205" t="n">
        <v>0</v>
      </c>
      <c r="BG89" s="208" t="n">
        <v>-1</v>
      </c>
      <c r="BH89" s="210" t="n">
        <v>1</v>
      </c>
      <c r="BI89" s="210" t="n">
        <v>2</v>
      </c>
      <c r="BJ89" s="210" t="n">
        <v>2</v>
      </c>
      <c r="BK89" s="210" t="n">
        <v>1</v>
      </c>
      <c r="BL89" s="210" t="n">
        <v>1</v>
      </c>
      <c r="BM89" s="210" t="n">
        <v>2</v>
      </c>
      <c r="BN89" s="215" t="n">
        <v>0</v>
      </c>
      <c r="BO89" s="215" t="n">
        <v>0</v>
      </c>
      <c r="BP89" s="215" t="n">
        <v>0</v>
      </c>
      <c r="BQ89" s="215" t="n">
        <v>0</v>
      </c>
    </row>
    <row r="90" ht="15.75" customHeight="1" thickBot="1">
      <c r="A90" s="66" t="inlineStr">
        <is>
          <t>https://open.spotify.com/playlist/1ZSThpeHJYzLLsMxsGslWC</t>
        </is>
      </c>
      <c r="B90" s="41" t="inlineStr">
        <is>
          <t>Sad Girl Country  | Emotional Country Songs, Heartbreak Anthems</t>
        </is>
      </c>
      <c r="C90" s="41" t="inlineStr">
        <is>
          <t>1ZSThpeHJYzLLsMxsGslWC</t>
        </is>
      </c>
      <c r="D90" s="53" t="n">
        <v>65</v>
      </c>
      <c r="E90" s="50" t="n">
        <v>2</v>
      </c>
      <c r="F90" s="50" t="n">
        <v>2</v>
      </c>
      <c r="G90" s="48" t="n">
        <v>0</v>
      </c>
      <c r="H90" s="48" t="n">
        <v>3</v>
      </c>
      <c r="I90" s="69" t="n">
        <v>4</v>
      </c>
      <c r="J90" s="73" t="n">
        <v>1</v>
      </c>
      <c r="K90" s="76" t="n">
        <v>0</v>
      </c>
      <c r="L90" s="79" t="n">
        <v>1</v>
      </c>
      <c r="M90" s="82" t="n">
        <v>3</v>
      </c>
      <c r="N90" s="85" t="n">
        <v>3</v>
      </c>
      <c r="O90" s="89" t="n">
        <v>1</v>
      </c>
      <c r="P90" s="93" t="n">
        <v>0</v>
      </c>
      <c r="Q90" s="95" t="n">
        <v>2</v>
      </c>
      <c r="R90" s="99" t="n">
        <v>3</v>
      </c>
      <c r="S90" s="102" t="n">
        <v>0</v>
      </c>
      <c r="T90" s="104" t="n">
        <v>1</v>
      </c>
      <c r="U90" s="107" t="n">
        <v>1</v>
      </c>
      <c r="V90" s="110" t="n">
        <v>3</v>
      </c>
      <c r="W90" s="114" t="n">
        <v>0</v>
      </c>
      <c r="X90" s="117" t="n">
        <v>0</v>
      </c>
      <c r="Y90" s="119" t="n">
        <v>1</v>
      </c>
      <c r="Z90" s="121" t="n">
        <v>1</v>
      </c>
      <c r="AA90" s="126" t="n">
        <v>2</v>
      </c>
      <c r="AB90" s="130" t="n">
        <v>0</v>
      </c>
      <c r="AC90" s="132" t="n">
        <v>2</v>
      </c>
      <c r="AD90" s="136" t="n">
        <v>0</v>
      </c>
      <c r="AE90" s="138" t="n">
        <v>0</v>
      </c>
      <c r="AF90" s="142" t="n">
        <v>0</v>
      </c>
      <c r="AG90" s="145" t="n">
        <v>0</v>
      </c>
      <c r="AH90" s="148" t="n">
        <v>0</v>
      </c>
      <c r="AI90" s="150" t="n">
        <v>1</v>
      </c>
      <c r="AJ90" s="152" t="n">
        <v>1</v>
      </c>
      <c r="AK90" s="154" t="n">
        <v>0</v>
      </c>
      <c r="AL90" s="156" t="n">
        <v>0</v>
      </c>
      <c r="AM90" s="160" t="n">
        <v>0</v>
      </c>
      <c r="AN90" s="162" t="n">
        <v>1</v>
      </c>
      <c r="AO90" s="162" t="n">
        <v>0</v>
      </c>
      <c r="AP90" s="166" t="n">
        <v>0</v>
      </c>
      <c r="AQ90" s="169" t="n">
        <v>0</v>
      </c>
      <c r="AR90" s="172" t="n">
        <v>0</v>
      </c>
      <c r="AS90" s="175" t="n">
        <v>0</v>
      </c>
      <c r="AT90" s="177" t="n">
        <v>1</v>
      </c>
      <c r="AU90" s="178" t="n">
        <v>0</v>
      </c>
      <c r="AV90" s="181" t="n">
        <v>-1</v>
      </c>
      <c r="AW90" s="184" t="n">
        <v>1</v>
      </c>
      <c r="AX90" s="183" t="n">
        <v>0</v>
      </c>
      <c r="AY90" s="187" t="n">
        <v>0</v>
      </c>
      <c r="AZ90" s="189" t="n">
        <v>0</v>
      </c>
      <c r="BA90" s="192" t="n">
        <v>0</v>
      </c>
      <c r="BB90" s="196" t="n">
        <v>0</v>
      </c>
      <c r="BC90" s="199" t="n">
        <v>0</v>
      </c>
      <c r="BD90" s="201" t="n">
        <v>1</v>
      </c>
      <c r="BE90" s="205" t="n">
        <v>-1</v>
      </c>
      <c r="BF90" s="205" t="n">
        <v>0</v>
      </c>
      <c r="BG90" s="208" t="n">
        <v>0</v>
      </c>
      <c r="BH90" s="211" t="n">
        <v>0</v>
      </c>
      <c r="BI90" s="211" t="n">
        <v>0</v>
      </c>
      <c r="BJ90" s="210" t="n">
        <v>1</v>
      </c>
      <c r="BK90" s="211" t="n">
        <v>0</v>
      </c>
      <c r="BL90" s="211" t="n">
        <v>0</v>
      </c>
      <c r="BM90" s="211" t="n">
        <v>0</v>
      </c>
      <c r="BN90" s="215" t="n">
        <v>0</v>
      </c>
      <c r="BO90" s="215" t="n">
        <v>0</v>
      </c>
      <c r="BP90" s="215" t="n">
        <v>0</v>
      </c>
      <c r="BQ90" s="215" t="n">
        <v>0</v>
      </c>
    </row>
    <row r="91" ht="15.75" customHeight="1" thickBot="1">
      <c r="A91" s="66" t="inlineStr">
        <is>
          <t>https://open.spotify.com/playlist/39CauoQWyTJAtG2n7bzs8y</t>
        </is>
      </c>
      <c r="B91" s="41" t="inlineStr">
        <is>
          <t xml:space="preserve">Most Beautiful Orchestra Pieces 🎻 | Classical Masterpieces &amp; Epic Scores </t>
        </is>
      </c>
      <c r="C91" s="41" t="inlineStr">
        <is>
          <t>39CauoQWyTJAtG2n7bzs8y</t>
        </is>
      </c>
      <c r="D91" s="53" t="n">
        <v>91</v>
      </c>
      <c r="E91" s="50" t="n">
        <v>2</v>
      </c>
      <c r="F91" s="50" t="n">
        <v>3</v>
      </c>
      <c r="G91" s="48" t="n">
        <v>2</v>
      </c>
      <c r="H91" s="48" t="n">
        <v>1</v>
      </c>
      <c r="I91" s="70" t="n">
        <v>2</v>
      </c>
      <c r="J91" s="73" t="n">
        <v>2</v>
      </c>
      <c r="K91" s="77" t="n">
        <v>1</v>
      </c>
      <c r="L91" s="79" t="n">
        <v>2</v>
      </c>
      <c r="M91" s="82" t="n">
        <v>2</v>
      </c>
      <c r="N91" s="85" t="n">
        <v>2</v>
      </c>
      <c r="O91" s="89" t="n">
        <v>1</v>
      </c>
      <c r="P91" s="92" t="n">
        <v>2</v>
      </c>
      <c r="Q91" s="96" t="n">
        <v>0</v>
      </c>
      <c r="R91" s="99" t="n">
        <v>2</v>
      </c>
      <c r="S91" s="101" t="n">
        <v>3</v>
      </c>
      <c r="T91" s="104" t="n">
        <v>1</v>
      </c>
      <c r="U91" s="106" t="n">
        <v>4</v>
      </c>
      <c r="V91" s="110" t="n">
        <v>3</v>
      </c>
      <c r="W91" s="113" t="n">
        <v>2</v>
      </c>
      <c r="X91" s="116" t="n">
        <v>1</v>
      </c>
      <c r="Y91" s="119" t="n">
        <v>2</v>
      </c>
      <c r="Z91" s="121" t="n">
        <v>3</v>
      </c>
      <c r="AA91" s="126" t="n">
        <v>2</v>
      </c>
      <c r="AB91" s="129" t="n">
        <v>2</v>
      </c>
      <c r="AC91" s="133" t="n">
        <v>-1</v>
      </c>
      <c r="AD91" s="136" t="n">
        <v>0</v>
      </c>
      <c r="AE91" s="138" t="n">
        <v>0</v>
      </c>
      <c r="AF91" s="141" t="n">
        <v>1</v>
      </c>
      <c r="AG91" s="145" t="n">
        <v>0</v>
      </c>
      <c r="AH91" s="148" t="n">
        <v>0</v>
      </c>
      <c r="AI91" s="151" t="n">
        <v>0</v>
      </c>
      <c r="AJ91" s="154" t="n">
        <v>0</v>
      </c>
      <c r="AK91" s="152" t="n">
        <v>1</v>
      </c>
      <c r="AL91" s="155" t="n">
        <v>4</v>
      </c>
      <c r="AM91" s="159" t="n">
        <v>1</v>
      </c>
      <c r="AN91" s="163" t="n">
        <v>0</v>
      </c>
      <c r="AO91" s="163" t="n">
        <v>0</v>
      </c>
      <c r="AP91" s="165" t="n">
        <v>1</v>
      </c>
      <c r="AQ91" s="168" t="n">
        <v>2</v>
      </c>
      <c r="AR91" s="172" t="n">
        <v>0</v>
      </c>
      <c r="AS91" s="174" t="n">
        <v>1</v>
      </c>
      <c r="AT91" s="178" t="n">
        <v>0</v>
      </c>
      <c r="AU91" s="178" t="n">
        <v>0</v>
      </c>
      <c r="AV91" s="181" t="n">
        <v>0</v>
      </c>
      <c r="AW91" s="183" t="n">
        <v>0</v>
      </c>
      <c r="AX91" s="183" t="n">
        <v>0</v>
      </c>
      <c r="AY91" s="187" t="n">
        <v>0</v>
      </c>
      <c r="AZ91" s="189" t="n">
        <v>0</v>
      </c>
      <c r="BA91" s="192" t="n">
        <v>0</v>
      </c>
      <c r="BB91" s="196" t="n">
        <v>0</v>
      </c>
      <c r="BC91" s="199" t="n">
        <v>0</v>
      </c>
      <c r="BD91" s="201" t="n">
        <v>1</v>
      </c>
      <c r="BE91" s="205" t="n">
        <v>0</v>
      </c>
      <c r="BF91" s="205" t="n">
        <v>0</v>
      </c>
      <c r="BG91" s="208" t="n">
        <v>0</v>
      </c>
      <c r="BH91" s="210" t="n">
        <v>1</v>
      </c>
      <c r="BI91" s="211" t="n">
        <v>0</v>
      </c>
      <c r="BJ91" s="211" t="n">
        <v>0</v>
      </c>
      <c r="BK91" s="211" t="n">
        <v>0</v>
      </c>
      <c r="BL91" s="211" t="n">
        <v>0</v>
      </c>
      <c r="BM91" s="211" t="n">
        <v>0</v>
      </c>
      <c r="BN91" s="214" t="n">
        <v>1</v>
      </c>
      <c r="BO91" s="214" t="n">
        <v>1</v>
      </c>
      <c r="BP91" s="215" t="n">
        <v>0</v>
      </c>
      <c r="BQ91" s="215" t="n">
        <v>0</v>
      </c>
    </row>
  </sheetData>
  <autoFilter ref="A1:D91">
    <sortState ref="A2:D91">
      <sortCondition descending="1" ref="D1:D91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87"/>
  <sheetViews>
    <sheetView topLeftCell="B1" zoomScale="70" zoomScaleNormal="70" workbookViewId="0">
      <pane ySplit="1" topLeftCell="A47" activePane="bottomLeft" state="frozen"/>
      <selection pane="bottomLeft" activeCell="B81" sqref="A81:XFD81"/>
    </sheetView>
  </sheetViews>
  <sheetFormatPr baseColWidth="8" defaultRowHeight="15"/>
  <cols>
    <col width="34.7109375" customWidth="1" style="22" min="1" max="1"/>
    <col width="87" customWidth="1" style="1" min="2" max="2"/>
    <col width="10.85546875" customWidth="1" style="1" min="3" max="3"/>
    <col width="9.140625" customWidth="1" style="3" min="4" max="4"/>
    <col width="6.140625" customWidth="1" min="5" max="5"/>
    <col width="4.7109375" customWidth="1" min="6" max="41"/>
  </cols>
  <sheetData>
    <row r="1">
      <c r="A1" s="22" t="inlineStr">
        <is>
          <t>URL</t>
        </is>
      </c>
      <c r="B1" s="1" t="inlineStr">
        <is>
          <t>Name</t>
        </is>
      </c>
      <c r="C1" s="1" t="inlineStr">
        <is>
          <t>PlaylistID</t>
        </is>
      </c>
      <c r="D1" s="3" t="inlineStr">
        <is>
          <t>c</t>
        </is>
      </c>
      <c r="E1" t="inlineStr">
        <is>
          <t>2026-03-01</t>
        </is>
      </c>
      <c r="F1" t="inlineStr">
        <is>
          <t>2026-03-02</t>
        </is>
      </c>
      <c r="G1" t="inlineStr">
        <is>
          <t>2026-03-03</t>
        </is>
      </c>
      <c r="H1" t="inlineStr">
        <is>
          <t>2026-03-04</t>
        </is>
      </c>
      <c r="I1" t="inlineStr">
        <is>
          <t>2026-03-05</t>
        </is>
      </c>
      <c r="J1" t="inlineStr">
        <is>
          <t>2026-03-06</t>
        </is>
      </c>
      <c r="K1" t="inlineStr">
        <is>
          <t>2026-03-07</t>
        </is>
      </c>
      <c r="L1" t="inlineStr">
        <is>
          <t>2026-03-08</t>
        </is>
      </c>
      <c r="M1" t="inlineStr">
        <is>
          <t>2026-03-09</t>
        </is>
      </c>
      <c r="N1" t="inlineStr">
        <is>
          <t>2026-03-10</t>
        </is>
      </c>
      <c r="O1" t="inlineStr">
        <is>
          <t>2026-03-11</t>
        </is>
      </c>
      <c r="P1" t="inlineStr">
        <is>
          <t>2026-03-12</t>
        </is>
      </c>
      <c r="Q1" t="inlineStr">
        <is>
          <t>2026-03-13</t>
        </is>
      </c>
      <c r="R1" t="inlineStr">
        <is>
          <t>2026-03-14</t>
        </is>
      </c>
      <c r="S1" t="inlineStr">
        <is>
          <t>2026-03-15</t>
        </is>
      </c>
      <c r="T1" t="inlineStr">
        <is>
          <t>2026-03-16</t>
        </is>
      </c>
      <c r="U1" t="inlineStr">
        <is>
          <t>2026-03-17</t>
        </is>
      </c>
      <c r="V1" t="inlineStr">
        <is>
          <t>2026-03-18</t>
        </is>
      </c>
      <c r="W1" t="inlineStr">
        <is>
          <t>2026-03-19</t>
        </is>
      </c>
      <c r="X1" t="inlineStr">
        <is>
          <t>2026-03-20</t>
        </is>
      </c>
      <c r="Y1" t="inlineStr">
        <is>
          <t>2026-03-21</t>
        </is>
      </c>
      <c r="Z1" t="inlineStr">
        <is>
          <t>2026-03-22</t>
        </is>
      </c>
      <c r="AA1" t="inlineStr">
        <is>
          <t>2026-03-23</t>
        </is>
      </c>
      <c r="AB1" t="inlineStr">
        <is>
          <t>2026-03-24</t>
        </is>
      </c>
      <c r="AC1" t="inlineStr">
        <is>
          <t>2026-03-25</t>
        </is>
      </c>
      <c r="AD1" t="inlineStr">
        <is>
          <t>2026-03-26</t>
        </is>
      </c>
      <c r="AE1" t="inlineStr">
        <is>
          <t>2026-03-27</t>
        </is>
      </c>
      <c r="AF1" t="inlineStr">
        <is>
          <t>2026-03-28</t>
        </is>
      </c>
      <c r="AG1" t="inlineStr">
        <is>
          <t>2026-03-29</t>
        </is>
      </c>
      <c r="AH1" t="inlineStr">
        <is>
          <t>2026-03-30</t>
        </is>
      </c>
      <c r="AI1" t="inlineStr">
        <is>
          <t>2026-03-31</t>
        </is>
      </c>
      <c r="AJ1" t="inlineStr">
        <is>
          <t>2026-04-01</t>
        </is>
      </c>
      <c r="AK1" t="inlineStr">
        <is>
          <t>2026-04-02</t>
        </is>
      </c>
      <c r="AL1" t="inlineStr">
        <is>
          <t>2026-04-03</t>
        </is>
      </c>
      <c r="AM1" t="inlineStr">
        <is>
          <t>2026-04-04</t>
        </is>
      </c>
      <c r="AN1" s="2" t="n">
        <v>46117</v>
      </c>
      <c r="AO1" t="inlineStr">
        <is>
          <t>2026-04-06</t>
        </is>
      </c>
      <c r="AP1" t="inlineStr">
        <is>
          <t>2026-04-07</t>
        </is>
      </c>
      <c r="AQ1" t="inlineStr">
        <is>
          <t>2026-04-08</t>
        </is>
      </c>
      <c r="AR1" t="inlineStr">
        <is>
          <t>2026-04-09</t>
        </is>
      </c>
      <c r="AS1" t="inlineStr">
        <is>
          <t>2026-04-10</t>
        </is>
      </c>
      <c r="AT1" t="inlineStr">
        <is>
          <t>2026-04-11</t>
        </is>
      </c>
      <c r="AU1" t="inlineStr">
        <is>
          <t>2026-04-12</t>
        </is>
      </c>
      <c r="AV1" t="inlineStr">
        <is>
          <t>2026-04-13</t>
        </is>
      </c>
      <c r="AW1" t="inlineStr">
        <is>
          <t>2026-04-14</t>
        </is>
      </c>
      <c r="AX1" t="inlineStr">
        <is>
          <t>2026-04-15</t>
        </is>
      </c>
      <c r="AY1" t="inlineStr">
        <is>
          <t>2026-04-16</t>
        </is>
      </c>
      <c r="AZ1" t="inlineStr">
        <is>
          <t>2026-04-17</t>
        </is>
      </c>
      <c r="BA1" t="inlineStr">
        <is>
          <t>2026-04-18</t>
        </is>
      </c>
      <c r="BB1" t="inlineStr">
        <is>
          <t>2026-04-19</t>
        </is>
      </c>
      <c r="BC1" t="inlineStr">
        <is>
          <t>2026-04-20</t>
        </is>
      </c>
      <c r="BD1" t="inlineStr">
        <is>
          <t>2026-04-21</t>
        </is>
      </c>
      <c r="BE1" t="inlineStr">
        <is>
          <t>2026-04-22</t>
        </is>
      </c>
      <c r="BF1" t="inlineStr">
        <is>
          <t>2026-04-23</t>
        </is>
      </c>
      <c r="BG1" t="inlineStr">
        <is>
          <t>2026-04-25</t>
        </is>
      </c>
      <c r="BH1" t="inlineStr">
        <is>
          <t>2026-04-26</t>
        </is>
      </c>
      <c r="BI1" t="inlineStr">
        <is>
          <t>2026-04-28</t>
        </is>
      </c>
      <c r="BJ1" t="inlineStr">
        <is>
          <t>2026-04-29</t>
        </is>
      </c>
      <c r="BK1" t="inlineStr">
        <is>
          <t>2026-04-30</t>
        </is>
      </c>
      <c r="BL1" t="inlineStr">
        <is>
          <t>2026-05-01</t>
        </is>
      </c>
      <c r="BM1" t="inlineStr">
        <is>
          <t>2026-05-02</t>
        </is>
      </c>
      <c r="BN1" t="inlineStr">
        <is>
          <t>2026-05-03</t>
        </is>
      </c>
      <c r="BO1" t="inlineStr">
        <is>
          <t>2026-05-04</t>
        </is>
      </c>
      <c r="BP1" t="inlineStr">
        <is>
          <t>2026-05-05</t>
        </is>
      </c>
      <c r="BQ1" t="inlineStr">
        <is>
          <t>2026-05-06</t>
        </is>
      </c>
    </row>
    <row r="2">
      <c r="A2" s="22">
        <f>"https://open.spotify.com/playlist/" &amp; C2</f>
        <v/>
      </c>
      <c r="B2" s="1" t="inlineStr">
        <is>
          <t>Druid Meditation | Celtic Ambient, Forest Ritual Sounds 2026 💎🌿</t>
        </is>
      </c>
      <c r="C2" s="1" t="inlineStr">
        <is>
          <t>7kL6pZJjgroakclJmbLUDz</t>
        </is>
      </c>
      <c r="D2" s="3" t="n">
        <v>287</v>
      </c>
      <c r="E2" s="19" t="n">
        <v>10</v>
      </c>
      <c r="F2" s="24" t="n">
        <v>5</v>
      </c>
      <c r="G2" s="24" t="n">
        <v>4</v>
      </c>
      <c r="H2" s="27" t="n">
        <v>5</v>
      </c>
      <c r="I2" s="31" t="n">
        <v>3</v>
      </c>
      <c r="J2" s="72" t="n">
        <v>4</v>
      </c>
      <c r="K2" s="77" t="n">
        <v>2</v>
      </c>
      <c r="L2" s="78" t="n">
        <v>7</v>
      </c>
      <c r="M2" s="81" t="n">
        <v>5</v>
      </c>
      <c r="N2" s="84" t="n">
        <v>6</v>
      </c>
      <c r="O2" s="88" t="n">
        <v>7</v>
      </c>
      <c r="P2" s="91" t="n">
        <v>5</v>
      </c>
      <c r="Q2" s="95" t="n">
        <v>2</v>
      </c>
      <c r="R2" s="97" t="n">
        <v>6</v>
      </c>
      <c r="S2" s="100" t="n">
        <v>4</v>
      </c>
      <c r="T2" s="103" t="n">
        <v>9</v>
      </c>
      <c r="U2" s="107" t="n">
        <v>3</v>
      </c>
      <c r="V2" s="109" t="n">
        <v>5</v>
      </c>
      <c r="W2" s="113" t="n">
        <v>3</v>
      </c>
      <c r="X2" s="117" t="n">
        <v>0</v>
      </c>
      <c r="Y2" s="119" t="n">
        <v>2</v>
      </c>
      <c r="Z2" s="121" t="n">
        <v>2</v>
      </c>
      <c r="AA2" s="127" t="n">
        <v>-1</v>
      </c>
      <c r="AB2" s="129" t="n">
        <v>1</v>
      </c>
      <c r="AC2" s="132" t="n">
        <v>2</v>
      </c>
      <c r="AD2" s="134" t="n">
        <v>6</v>
      </c>
      <c r="AE2" s="139" t="n">
        <v>2</v>
      </c>
      <c r="AF2" s="141" t="n">
        <v>3</v>
      </c>
      <c r="AG2" s="144" t="n">
        <v>3</v>
      </c>
      <c r="AH2" s="147" t="n">
        <v>3</v>
      </c>
      <c r="AI2" s="149" t="n">
        <v>5</v>
      </c>
      <c r="AJ2" s="153" t="n">
        <v>8</v>
      </c>
      <c r="AK2" s="152" t="n">
        <v>3</v>
      </c>
      <c r="AL2" s="155" t="n">
        <v>5</v>
      </c>
      <c r="AM2" s="160" t="n">
        <v>0</v>
      </c>
      <c r="AN2" s="161" t="n">
        <v>3</v>
      </c>
      <c r="AO2" s="161" t="n">
        <v>3</v>
      </c>
      <c r="AP2" s="165" t="n">
        <v>3</v>
      </c>
      <c r="AQ2" s="168" t="n">
        <v>3</v>
      </c>
      <c r="AR2" s="171" t="n">
        <v>2</v>
      </c>
      <c r="AS2" s="174" t="n">
        <v>2</v>
      </c>
      <c r="AT2" s="177" t="n">
        <v>2</v>
      </c>
      <c r="AU2" s="176" t="n">
        <v>5</v>
      </c>
      <c r="AV2" s="179" t="n">
        <v>5</v>
      </c>
      <c r="AW2" s="184" t="n">
        <v>1</v>
      </c>
      <c r="AX2" s="184" t="n">
        <v>1</v>
      </c>
      <c r="AY2" s="186" t="n">
        <v>1</v>
      </c>
      <c r="AZ2" s="190" t="n">
        <v>2</v>
      </c>
      <c r="BA2" s="193" t="n">
        <v>5</v>
      </c>
      <c r="BB2" s="195" t="n">
        <v>5</v>
      </c>
      <c r="BC2" s="197" t="n">
        <v>6</v>
      </c>
      <c r="BD2" s="200" t="n">
        <v>4</v>
      </c>
      <c r="BE2" s="204" t="n">
        <v>1</v>
      </c>
      <c r="BF2" s="204" t="n">
        <v>2</v>
      </c>
      <c r="BG2" s="206" t="n">
        <v>6</v>
      </c>
      <c r="BH2" s="209" t="n">
        <v>4</v>
      </c>
      <c r="BI2" s="210" t="n">
        <v>3</v>
      </c>
      <c r="BJ2" s="210" t="n">
        <v>3</v>
      </c>
      <c r="BK2" s="210" t="n">
        <v>2</v>
      </c>
      <c r="BL2" s="211" t="n">
        <v>0</v>
      </c>
      <c r="BM2" s="210" t="n">
        <v>2</v>
      </c>
      <c r="BN2" s="214" t="n">
        <v>2</v>
      </c>
      <c r="BO2" s="214" t="n">
        <v>3</v>
      </c>
      <c r="BP2" s="214" t="n">
        <v>1</v>
      </c>
      <c r="BQ2" s="214" t="n">
        <v>3</v>
      </c>
    </row>
    <row r="3">
      <c r="A3" s="22">
        <f>"https://open.spotify.com/playlist/" &amp; C3</f>
        <v/>
      </c>
      <c r="B3" s="1" t="inlineStr">
        <is>
          <t>Running Music 200 BPM | Super Fast Songs for Running &amp; Extreme Speed Workouts ⚡🏃‍♂️</t>
        </is>
      </c>
      <c r="C3" s="1" t="inlineStr">
        <is>
          <t>28eKAWVCjQEz7BvJ4jDwS9</t>
        </is>
      </c>
      <c r="D3" s="3" t="n">
        <v>430</v>
      </c>
      <c r="E3" s="19" t="n">
        <v>7</v>
      </c>
      <c r="F3" s="26" t="n">
        <v>2</v>
      </c>
      <c r="G3" s="24" t="n">
        <v>4</v>
      </c>
      <c r="H3" s="27" t="n">
        <v>8</v>
      </c>
      <c r="I3" s="30" t="n">
        <v>7</v>
      </c>
      <c r="J3" s="72" t="n">
        <v>6</v>
      </c>
      <c r="K3" s="75" t="n">
        <v>4</v>
      </c>
      <c r="L3" s="78" t="n">
        <v>9</v>
      </c>
      <c r="M3" s="81" t="n">
        <v>8</v>
      </c>
      <c r="N3" s="84" t="n">
        <v>8</v>
      </c>
      <c r="O3" s="88" t="n">
        <v>8</v>
      </c>
      <c r="P3" s="91" t="n">
        <v>9</v>
      </c>
      <c r="Q3" s="94" t="n">
        <v>8</v>
      </c>
      <c r="R3" s="97" t="n">
        <v>9</v>
      </c>
      <c r="S3" s="100" t="n">
        <v>5</v>
      </c>
      <c r="T3" s="103" t="n">
        <v>6</v>
      </c>
      <c r="U3" s="106" t="n">
        <v>5</v>
      </c>
      <c r="V3" s="109" t="n">
        <v>10</v>
      </c>
      <c r="W3" s="112" t="n">
        <v>7</v>
      </c>
      <c r="X3" s="116" t="n">
        <v>3</v>
      </c>
      <c r="Y3" s="118" t="n">
        <v>8</v>
      </c>
      <c r="Z3" s="122" t="n">
        <v>12</v>
      </c>
      <c r="AA3" s="126" t="n">
        <v>1</v>
      </c>
      <c r="AB3" s="128" t="n">
        <v>11</v>
      </c>
      <c r="AC3" s="132" t="n">
        <v>3</v>
      </c>
      <c r="AD3" s="134" t="n">
        <v>11</v>
      </c>
      <c r="AE3" s="139" t="n">
        <v>2</v>
      </c>
      <c r="AF3" s="140" t="n">
        <v>5</v>
      </c>
      <c r="AG3" s="143" t="n">
        <v>8</v>
      </c>
      <c r="AH3" s="147" t="n">
        <v>3</v>
      </c>
      <c r="AI3" s="149" t="n">
        <v>10</v>
      </c>
      <c r="AJ3" s="153" t="n">
        <v>4</v>
      </c>
      <c r="AK3" s="153" t="n">
        <v>6</v>
      </c>
      <c r="AL3" s="155" t="n">
        <v>8</v>
      </c>
      <c r="AM3" s="158" t="n">
        <v>4</v>
      </c>
      <c r="AN3" s="161" t="n">
        <v>6</v>
      </c>
      <c r="AO3" s="161" t="n">
        <v>6</v>
      </c>
      <c r="AP3" s="164" t="n">
        <v>7</v>
      </c>
      <c r="AQ3" s="167" t="n">
        <v>8</v>
      </c>
      <c r="AR3" s="170" t="n">
        <v>4</v>
      </c>
      <c r="AS3" s="174" t="n">
        <v>2</v>
      </c>
      <c r="AT3" s="176" t="n">
        <v>7</v>
      </c>
      <c r="AU3" s="176" t="n">
        <v>9</v>
      </c>
      <c r="AV3" s="180" t="n">
        <v>2</v>
      </c>
      <c r="AW3" s="184" t="n">
        <v>3</v>
      </c>
      <c r="AX3" s="182" t="n">
        <v>7</v>
      </c>
      <c r="AY3" s="185" t="n">
        <v>7</v>
      </c>
      <c r="AZ3" s="190" t="n">
        <v>2</v>
      </c>
      <c r="BA3" s="193" t="n">
        <v>6</v>
      </c>
      <c r="BB3" s="194" t="n">
        <v>3</v>
      </c>
      <c r="BC3" s="197" t="n">
        <v>4</v>
      </c>
      <c r="BD3" s="200" t="n">
        <v>7</v>
      </c>
      <c r="BE3" s="203" t="n">
        <v>7</v>
      </c>
      <c r="BF3" s="203" t="n">
        <v>4</v>
      </c>
      <c r="BG3" s="206" t="n">
        <v>7</v>
      </c>
      <c r="BH3" s="210" t="n">
        <v>3</v>
      </c>
      <c r="BI3" s="209" t="n">
        <v>7</v>
      </c>
      <c r="BJ3" s="210" t="n">
        <v>3</v>
      </c>
      <c r="BK3" s="209" t="n">
        <v>6</v>
      </c>
      <c r="BL3" s="210" t="n">
        <v>1</v>
      </c>
      <c r="BM3" s="210" t="n">
        <v>2</v>
      </c>
      <c r="BN3" s="214" t="n">
        <v>3</v>
      </c>
      <c r="BO3" s="214" t="n">
        <v>3</v>
      </c>
      <c r="BP3" s="216" t="n">
        <v>6</v>
      </c>
      <c r="BQ3" s="216" t="n">
        <v>4</v>
      </c>
    </row>
    <row r="4">
      <c r="A4" s="22">
        <f>"https://open.spotify.com/playlist/" &amp; C4</f>
        <v/>
      </c>
      <c r="B4" s="1" t="inlineStr">
        <is>
          <t>Trending Praise &amp; Worship 2026  | Gospel Hits, Worship Songs, Christian Praise, Viral Worship 🙏</t>
        </is>
      </c>
      <c r="C4" s="1" t="inlineStr">
        <is>
          <t>0lnvvp78nfDwiVkHH2k9BT</t>
        </is>
      </c>
      <c r="D4" s="3" t="n">
        <v>306</v>
      </c>
      <c r="E4" s="19" t="n">
        <v>6</v>
      </c>
      <c r="F4" s="24" t="n">
        <v>5</v>
      </c>
      <c r="G4" s="24" t="n">
        <v>4</v>
      </c>
      <c r="H4" s="28" t="n">
        <v>3</v>
      </c>
      <c r="I4" s="30" t="n">
        <v>10</v>
      </c>
      <c r="J4" s="72" t="n">
        <v>6</v>
      </c>
      <c r="K4" s="75" t="n">
        <v>10</v>
      </c>
      <c r="L4" s="78" t="n">
        <v>13</v>
      </c>
      <c r="M4" s="81" t="n">
        <v>4</v>
      </c>
      <c r="N4" s="84" t="n">
        <v>7</v>
      </c>
      <c r="O4" s="88" t="n">
        <v>7</v>
      </c>
      <c r="P4" s="91" t="n">
        <v>9</v>
      </c>
      <c r="Q4" s="94" t="n">
        <v>5</v>
      </c>
      <c r="R4" s="97" t="n">
        <v>6</v>
      </c>
      <c r="S4" s="100" t="n">
        <v>10</v>
      </c>
      <c r="T4" s="103" t="n">
        <v>5</v>
      </c>
      <c r="U4" s="107" t="n">
        <v>3</v>
      </c>
      <c r="V4" s="110" t="n">
        <v>3</v>
      </c>
      <c r="W4" s="112" t="n">
        <v>4</v>
      </c>
      <c r="X4" s="116" t="n">
        <v>3</v>
      </c>
      <c r="Y4" s="118" t="n">
        <v>5</v>
      </c>
      <c r="Z4" s="122" t="n">
        <v>5</v>
      </c>
      <c r="AA4" s="125" t="n">
        <v>6</v>
      </c>
      <c r="AB4" s="128" t="n">
        <v>8</v>
      </c>
      <c r="AC4" s="132" t="n">
        <v>2</v>
      </c>
      <c r="AD4" s="135" t="n">
        <v>3</v>
      </c>
      <c r="AE4" s="139" t="n">
        <v>3</v>
      </c>
      <c r="AF4" s="141" t="n">
        <v>1</v>
      </c>
      <c r="AG4" s="144" t="n">
        <v>2</v>
      </c>
      <c r="AH4" s="147" t="n">
        <v>1</v>
      </c>
      <c r="AI4" s="149" t="n">
        <v>4</v>
      </c>
      <c r="AJ4" s="152" t="n">
        <v>2</v>
      </c>
      <c r="AK4" s="152" t="n">
        <v>1</v>
      </c>
      <c r="AL4" s="157" t="n">
        <v>3</v>
      </c>
      <c r="AM4" s="158" t="n">
        <v>5</v>
      </c>
      <c r="AN4" s="161" t="n">
        <v>4</v>
      </c>
      <c r="AO4" s="161" t="n">
        <v>4</v>
      </c>
      <c r="AP4" s="164" t="n">
        <v>5</v>
      </c>
      <c r="AQ4" s="168" t="n">
        <v>1</v>
      </c>
      <c r="AR4" s="171" t="n">
        <v>3</v>
      </c>
      <c r="AS4" s="173" t="n">
        <v>6</v>
      </c>
      <c r="AT4" s="177" t="n">
        <v>2</v>
      </c>
      <c r="AU4" s="176" t="n">
        <v>7</v>
      </c>
      <c r="AV4" s="181" t="n">
        <v>-1</v>
      </c>
      <c r="AW4" s="184" t="n">
        <v>2</v>
      </c>
      <c r="AX4" s="184" t="n">
        <v>1</v>
      </c>
      <c r="AY4" s="186" t="n">
        <v>3</v>
      </c>
      <c r="AZ4" s="190" t="n">
        <v>2</v>
      </c>
      <c r="BA4" s="193" t="n">
        <v>5</v>
      </c>
      <c r="BB4" s="195" t="n">
        <v>4</v>
      </c>
      <c r="BC4" s="198" t="n">
        <v>2</v>
      </c>
      <c r="BD4" s="201" t="n">
        <v>3</v>
      </c>
      <c r="BE4" s="204" t="n">
        <v>1</v>
      </c>
      <c r="BF4" s="204" t="n">
        <v>3</v>
      </c>
      <c r="BG4" s="208" t="n">
        <v>0</v>
      </c>
      <c r="BH4" s="210" t="n">
        <v>2</v>
      </c>
      <c r="BI4" s="210" t="n">
        <v>2</v>
      </c>
      <c r="BJ4" s="211" t="n">
        <v>0</v>
      </c>
      <c r="BK4" s="211" t="n">
        <v>0</v>
      </c>
      <c r="BL4" s="210" t="n">
        <v>1</v>
      </c>
      <c r="BM4" s="210" t="n">
        <v>2</v>
      </c>
      <c r="BN4" s="216" t="n">
        <v>4</v>
      </c>
      <c r="BO4" s="215" t="n">
        <v>0</v>
      </c>
      <c r="BP4" s="214" t="n">
        <v>1</v>
      </c>
      <c r="BQ4" s="214" t="n">
        <v>2</v>
      </c>
    </row>
    <row r="5">
      <c r="A5" s="22">
        <f>"https://open.spotify.com/playlist/" &amp; C5</f>
        <v/>
      </c>
      <c r="B5" s="1" t="inlineStr">
        <is>
          <t>Spinning Songs 150-160 BPM 2026 | Spinning Workout, Cycling Music &amp; Spin Class 🚴‍♀️⚡</t>
        </is>
      </c>
      <c r="C5" s="1" t="inlineStr">
        <is>
          <t>2DRV17IO3eYHq7CthMrbcd</t>
        </is>
      </c>
      <c r="D5" s="3" t="n">
        <v>165</v>
      </c>
      <c r="E5" s="19" t="n">
        <v>5</v>
      </c>
      <c r="F5" s="25" t="n">
        <v>-1</v>
      </c>
      <c r="G5" s="26" t="n">
        <v>2</v>
      </c>
      <c r="H5" s="27" t="n">
        <v>6</v>
      </c>
      <c r="I5" s="30" t="n">
        <v>7</v>
      </c>
      <c r="J5" s="72" t="n">
        <v>4</v>
      </c>
      <c r="K5" s="77" t="n">
        <v>3</v>
      </c>
      <c r="L5" s="79" t="n">
        <v>2</v>
      </c>
      <c r="M5" s="81" t="n">
        <v>6</v>
      </c>
      <c r="N5" s="86" t="n">
        <v>0</v>
      </c>
      <c r="O5" s="88" t="n">
        <v>5</v>
      </c>
      <c r="P5" s="91" t="n">
        <v>4</v>
      </c>
      <c r="Q5" s="96" t="n">
        <v>-1</v>
      </c>
      <c r="R5" s="99" t="n">
        <v>2</v>
      </c>
      <c r="S5" s="102" t="n">
        <v>0</v>
      </c>
      <c r="T5" s="104" t="n">
        <v>2</v>
      </c>
      <c r="U5" s="107" t="n">
        <v>3</v>
      </c>
      <c r="V5" s="110" t="n">
        <v>3</v>
      </c>
      <c r="W5" s="114" t="n">
        <v>0</v>
      </c>
      <c r="X5" s="116" t="n">
        <v>2</v>
      </c>
      <c r="Y5" s="119" t="n">
        <v>3</v>
      </c>
      <c r="Z5" s="121" t="n">
        <v>3</v>
      </c>
      <c r="AA5" s="126" t="n">
        <v>2</v>
      </c>
      <c r="AB5" s="129" t="n">
        <v>3</v>
      </c>
      <c r="AC5" s="132" t="n">
        <v>2</v>
      </c>
      <c r="AD5" s="135" t="n">
        <v>1</v>
      </c>
      <c r="AE5" s="139" t="n">
        <v>3</v>
      </c>
      <c r="AF5" s="141" t="n">
        <v>1</v>
      </c>
      <c r="AG5" s="144" t="n">
        <v>1</v>
      </c>
      <c r="AH5" s="147" t="n">
        <v>1</v>
      </c>
      <c r="AI5" s="151" t="n">
        <v>0</v>
      </c>
      <c r="AJ5" s="152" t="n">
        <v>2</v>
      </c>
      <c r="AK5" s="154" t="n">
        <v>0</v>
      </c>
      <c r="AL5" s="156" t="n">
        <v>0</v>
      </c>
      <c r="AM5" s="160" t="n">
        <v>0</v>
      </c>
      <c r="AN5" s="163" t="n">
        <v>0</v>
      </c>
      <c r="AO5" s="163" t="n">
        <v>0</v>
      </c>
      <c r="AP5" s="166" t="n">
        <v>0</v>
      </c>
      <c r="AQ5" s="168" t="n">
        <v>2</v>
      </c>
      <c r="AR5" s="171" t="n">
        <v>2</v>
      </c>
      <c r="AS5" s="174" t="n">
        <v>1</v>
      </c>
      <c r="AT5" s="177" t="n">
        <v>1</v>
      </c>
      <c r="AU5" s="177" t="n">
        <v>2</v>
      </c>
      <c r="AV5" s="180" t="n">
        <v>1</v>
      </c>
      <c r="AW5" s="184" t="n">
        <v>3</v>
      </c>
      <c r="AX5" s="184" t="n">
        <v>1</v>
      </c>
      <c r="AY5" s="186" t="n">
        <v>1</v>
      </c>
      <c r="AZ5" s="190" t="n">
        <v>1</v>
      </c>
      <c r="BA5" s="191" t="n">
        <v>1</v>
      </c>
      <c r="BB5" s="194" t="n">
        <v>1</v>
      </c>
      <c r="BC5" s="198" t="n">
        <v>2</v>
      </c>
      <c r="BD5" s="201" t="n">
        <v>2</v>
      </c>
      <c r="BE5" s="204" t="n">
        <v>2</v>
      </c>
      <c r="BF5" s="205" t="n">
        <v>-1</v>
      </c>
      <c r="BG5" s="208" t="n">
        <v>0</v>
      </c>
      <c r="BH5" s="210" t="n">
        <v>1</v>
      </c>
      <c r="BI5" s="210" t="n">
        <v>3</v>
      </c>
      <c r="BJ5" s="211" t="n">
        <v>0</v>
      </c>
      <c r="BK5" s="210" t="n">
        <v>1</v>
      </c>
      <c r="BL5" s="211" t="n">
        <v>0</v>
      </c>
      <c r="BM5" s="211" t="n">
        <v>0</v>
      </c>
      <c r="BN5" s="215" t="n">
        <v>0</v>
      </c>
      <c r="BO5" s="214" t="n">
        <v>2</v>
      </c>
      <c r="BP5" s="215" t="n">
        <v>0</v>
      </c>
      <c r="BQ5" s="214" t="n">
        <v>1</v>
      </c>
    </row>
    <row r="6">
      <c r="A6" s="22">
        <f>"https://open.spotify.com/playlist/" &amp; C6</f>
        <v/>
      </c>
      <c r="B6" s="1" t="inlineStr">
        <is>
          <t>EDM Club Bangers 2026 | Party Anthems, House Hits &amp; Gym House 🔥🕺</t>
        </is>
      </c>
      <c r="C6" s="1" t="inlineStr">
        <is>
          <t>3hg5OBVSyRBEUZxolAYNFl</t>
        </is>
      </c>
      <c r="D6" s="3" t="n">
        <v>286</v>
      </c>
      <c r="E6" s="19" t="n">
        <v>5</v>
      </c>
      <c r="F6" s="26" t="n">
        <v>2</v>
      </c>
      <c r="G6" s="24" t="n">
        <v>4</v>
      </c>
      <c r="H6" s="27" t="n">
        <v>4</v>
      </c>
      <c r="I6" s="31" t="n">
        <v>2</v>
      </c>
      <c r="J6" s="73" t="n">
        <v>3</v>
      </c>
      <c r="K6" s="75" t="n">
        <v>5</v>
      </c>
      <c r="L6" s="78" t="n">
        <v>11</v>
      </c>
      <c r="M6" s="82" t="n">
        <v>1</v>
      </c>
      <c r="N6" s="84" t="n">
        <v>4</v>
      </c>
      <c r="O6" s="88" t="n">
        <v>4</v>
      </c>
      <c r="P6" s="92" t="n">
        <v>1</v>
      </c>
      <c r="Q6" s="95" t="n">
        <v>3</v>
      </c>
      <c r="R6" s="97" t="n">
        <v>4</v>
      </c>
      <c r="S6" s="100" t="n">
        <v>4</v>
      </c>
      <c r="T6" s="103" t="n">
        <v>6</v>
      </c>
      <c r="U6" s="107" t="n">
        <v>2</v>
      </c>
      <c r="V6" s="109" t="n">
        <v>5</v>
      </c>
      <c r="W6" s="112" t="n">
        <v>4</v>
      </c>
      <c r="X6" s="116" t="n">
        <v>3</v>
      </c>
      <c r="Y6" s="118" t="n">
        <v>5</v>
      </c>
      <c r="Z6" s="121" t="n">
        <v>3</v>
      </c>
      <c r="AA6" s="126" t="n">
        <v>1</v>
      </c>
      <c r="AB6" s="129" t="n">
        <v>3</v>
      </c>
      <c r="AC6" s="131" t="n">
        <v>6</v>
      </c>
      <c r="AD6" s="135" t="n">
        <v>2</v>
      </c>
      <c r="AE6" s="137" t="n">
        <v>6</v>
      </c>
      <c r="AF6" s="140" t="n">
        <v>5</v>
      </c>
      <c r="AG6" s="144" t="n">
        <v>3</v>
      </c>
      <c r="AH6" s="146" t="n">
        <v>7</v>
      </c>
      <c r="AI6" s="150" t="n">
        <v>3</v>
      </c>
      <c r="AJ6" s="153" t="n">
        <v>5</v>
      </c>
      <c r="AK6" s="152" t="n">
        <v>2</v>
      </c>
      <c r="AL6" s="155" t="n">
        <v>4</v>
      </c>
      <c r="AM6" s="159" t="n">
        <v>2</v>
      </c>
      <c r="AN6" s="161" t="n">
        <v>5</v>
      </c>
      <c r="AO6" s="161" t="n">
        <v>5</v>
      </c>
      <c r="AP6" s="164" t="n">
        <v>7</v>
      </c>
      <c r="AQ6" s="168" t="n">
        <v>3</v>
      </c>
      <c r="AR6" s="170" t="n">
        <v>5</v>
      </c>
      <c r="AS6" s="173" t="n">
        <v>5</v>
      </c>
      <c r="AT6" s="176" t="n">
        <v>4</v>
      </c>
      <c r="AU6" s="176" t="n">
        <v>6</v>
      </c>
      <c r="AV6" s="179" t="n">
        <v>4</v>
      </c>
      <c r="AW6" s="184" t="n">
        <v>1</v>
      </c>
      <c r="AX6" s="184" t="n">
        <v>3</v>
      </c>
      <c r="AY6" s="186" t="n">
        <v>1</v>
      </c>
      <c r="AZ6" s="190" t="n">
        <v>1</v>
      </c>
      <c r="BA6" s="191" t="n">
        <v>2</v>
      </c>
      <c r="BB6" s="195" t="n">
        <v>4</v>
      </c>
      <c r="BC6" s="198" t="n">
        <v>2</v>
      </c>
      <c r="BD6" s="201" t="n">
        <v>2</v>
      </c>
      <c r="BE6" s="204" t="n">
        <v>1</v>
      </c>
      <c r="BF6" s="204" t="n">
        <v>2</v>
      </c>
      <c r="BG6" s="206" t="n">
        <v>10</v>
      </c>
      <c r="BH6" s="209" t="n">
        <v>11</v>
      </c>
      <c r="BI6" s="209" t="n">
        <v>6</v>
      </c>
      <c r="BJ6" s="210" t="n">
        <v>1</v>
      </c>
      <c r="BK6" s="210" t="n">
        <v>2</v>
      </c>
      <c r="BL6" s="209" t="n">
        <v>8</v>
      </c>
      <c r="BM6" s="209" t="n">
        <v>8</v>
      </c>
      <c r="BN6" s="216" t="n">
        <v>4</v>
      </c>
      <c r="BO6" s="214" t="n">
        <v>3</v>
      </c>
      <c r="BP6" s="214" t="n">
        <v>3</v>
      </c>
      <c r="BQ6" s="216" t="n">
        <v>7</v>
      </c>
    </row>
    <row r="7">
      <c r="A7" s="22">
        <f>"https://open.spotify.com/playlist/" &amp; C7</f>
        <v/>
      </c>
      <c r="B7" s="1" t="inlineStr">
        <is>
          <t>MAXIMALES Lernen für Prüfungen 📚 | Fokus Musik | Study Playlist | Konzentrationsmusik</t>
        </is>
      </c>
      <c r="C7" s="1" t="inlineStr">
        <is>
          <t>4u5lK8uunFg2G18eb87fcK</t>
        </is>
      </c>
      <c r="D7" s="3" t="n">
        <v>57</v>
      </c>
      <c r="E7" s="19" t="n">
        <v>4</v>
      </c>
      <c r="F7" s="25" t="n">
        <v>0</v>
      </c>
      <c r="G7" s="26" t="n">
        <v>1</v>
      </c>
      <c r="H7" s="28" t="n">
        <v>1</v>
      </c>
      <c r="I7" s="30" t="n">
        <v>4</v>
      </c>
      <c r="J7" s="73" t="n">
        <v>1</v>
      </c>
      <c r="K7" s="76" t="n">
        <v>0</v>
      </c>
      <c r="L7" s="79" t="n">
        <v>1</v>
      </c>
      <c r="M7" s="83" t="n">
        <v>0</v>
      </c>
      <c r="N7" s="85" t="n">
        <v>1</v>
      </c>
      <c r="O7" s="90" t="n">
        <v>0</v>
      </c>
      <c r="P7" s="92" t="n">
        <v>2</v>
      </c>
      <c r="Q7" s="95" t="n">
        <v>1</v>
      </c>
      <c r="R7" s="98" t="n">
        <v>-1</v>
      </c>
      <c r="S7" s="101" t="n">
        <v>2</v>
      </c>
      <c r="T7" s="104" t="n">
        <v>2</v>
      </c>
      <c r="U7" s="107" t="n">
        <v>2</v>
      </c>
      <c r="V7" s="110" t="n">
        <v>1</v>
      </c>
      <c r="W7" s="114" t="n">
        <v>0</v>
      </c>
      <c r="X7" s="116" t="n">
        <v>2</v>
      </c>
      <c r="Y7" s="120" t="n">
        <v>-1</v>
      </c>
      <c r="Z7" s="123" t="n">
        <v>0</v>
      </c>
      <c r="AA7" s="127" t="n">
        <v>0</v>
      </c>
      <c r="AB7" s="129" t="n">
        <v>1</v>
      </c>
      <c r="AC7" s="132" t="n">
        <v>3</v>
      </c>
      <c r="AD7" s="134" t="n">
        <v>4</v>
      </c>
      <c r="AE7" s="138" t="n">
        <v>0</v>
      </c>
      <c r="AF7" s="142" t="n">
        <v>0</v>
      </c>
      <c r="AG7" s="144" t="n">
        <v>1</v>
      </c>
      <c r="AH7" s="147" t="n">
        <v>1</v>
      </c>
      <c r="AI7" s="151" t="n">
        <v>0</v>
      </c>
      <c r="AJ7" s="154" t="n">
        <v>0</v>
      </c>
      <c r="AK7" s="154" t="n">
        <v>0</v>
      </c>
      <c r="AL7" s="156" t="n">
        <v>0</v>
      </c>
      <c r="AM7" s="159" t="n">
        <v>1</v>
      </c>
      <c r="AN7" s="162" t="n">
        <v>1</v>
      </c>
      <c r="AO7" s="162" t="n">
        <v>0</v>
      </c>
      <c r="AP7" s="166" t="n">
        <v>0</v>
      </c>
      <c r="AQ7" s="168" t="n">
        <v>1</v>
      </c>
      <c r="AR7" s="172" t="n">
        <v>0</v>
      </c>
      <c r="AS7" s="175" t="n">
        <v>0</v>
      </c>
      <c r="AT7" s="178" t="n">
        <v>0</v>
      </c>
      <c r="AU7" s="177" t="n">
        <v>1</v>
      </c>
      <c r="AV7" s="180" t="n">
        <v>1</v>
      </c>
      <c r="AW7" s="184" t="n">
        <v>1</v>
      </c>
      <c r="AX7" s="183" t="n">
        <v>0</v>
      </c>
      <c r="AY7" s="186" t="n">
        <v>1</v>
      </c>
      <c r="AZ7" s="189" t="n">
        <v>0</v>
      </c>
      <c r="BA7" s="192" t="n">
        <v>0</v>
      </c>
      <c r="BB7" s="194" t="n">
        <v>1</v>
      </c>
      <c r="BC7" s="199" t="n">
        <v>-1</v>
      </c>
      <c r="BD7" s="202" t="n">
        <v>0</v>
      </c>
      <c r="BE7" s="205" t="n">
        <v>0</v>
      </c>
      <c r="BF7" s="204" t="n">
        <v>1</v>
      </c>
      <c r="BG7" s="208" t="n">
        <v>0</v>
      </c>
      <c r="BH7" s="211" t="n">
        <v>0</v>
      </c>
      <c r="BI7" s="211" t="n">
        <v>0</v>
      </c>
      <c r="BJ7" s="211" t="n">
        <v>0</v>
      </c>
      <c r="BK7" s="210" t="n">
        <v>1</v>
      </c>
      <c r="BL7" s="211" t="n">
        <v>0</v>
      </c>
      <c r="BM7" s="211" t="n">
        <v>0</v>
      </c>
      <c r="BN7" s="215" t="n">
        <v>0</v>
      </c>
      <c r="BO7" s="215" t="n">
        <v>0</v>
      </c>
      <c r="BP7" s="215" t="n">
        <v>0</v>
      </c>
      <c r="BQ7" s="215" t="n">
        <v>0</v>
      </c>
    </row>
    <row r="8">
      <c r="A8" s="22">
        <f>"https://open.spotify.com/playlist/" &amp; C8</f>
        <v/>
      </c>
      <c r="B8" s="1" t="inlineStr">
        <is>
          <t>Canzoni da Palestra 2026 🔥 Migliori Brani per Allenamento e Motivazione | Musica per la Palestra 💃</t>
        </is>
      </c>
      <c r="C8" s="1" t="inlineStr">
        <is>
          <t>01ctcL3jlXrcv03hOw7IDA</t>
        </is>
      </c>
      <c r="D8" s="3" t="n">
        <v>194</v>
      </c>
      <c r="E8" s="19" t="n">
        <v>4</v>
      </c>
      <c r="F8" s="26" t="n">
        <v>1</v>
      </c>
      <c r="G8" s="24" t="n">
        <v>7</v>
      </c>
      <c r="H8" s="27" t="n">
        <v>6</v>
      </c>
      <c r="I8" s="30" t="n">
        <v>4</v>
      </c>
      <c r="J8" s="72" t="n">
        <v>6</v>
      </c>
      <c r="K8" s="77" t="n">
        <v>1</v>
      </c>
      <c r="L8" s="78" t="n">
        <v>4</v>
      </c>
      <c r="M8" s="81" t="n">
        <v>4</v>
      </c>
      <c r="N8" s="85" t="n">
        <v>2</v>
      </c>
      <c r="O8" s="88" t="n">
        <v>6</v>
      </c>
      <c r="P8" s="93" t="n">
        <v>0</v>
      </c>
      <c r="Q8" s="94" t="n">
        <v>5</v>
      </c>
      <c r="R8" s="97" t="n">
        <v>4</v>
      </c>
      <c r="S8" s="101" t="n">
        <v>1</v>
      </c>
      <c r="T8" s="103" t="n">
        <v>6</v>
      </c>
      <c r="U8" s="107" t="n">
        <v>1</v>
      </c>
      <c r="V8" s="110" t="n">
        <v>2</v>
      </c>
      <c r="W8" s="114" t="n">
        <v>0</v>
      </c>
      <c r="X8" s="116" t="n">
        <v>1</v>
      </c>
      <c r="Y8" s="119" t="n">
        <v>2</v>
      </c>
      <c r="Z8" s="121" t="n">
        <v>3</v>
      </c>
      <c r="AA8" s="126" t="n">
        <v>1</v>
      </c>
      <c r="AB8" s="129" t="n">
        <v>1</v>
      </c>
      <c r="AC8" s="133" t="n">
        <v>0</v>
      </c>
      <c r="AD8" s="135" t="n">
        <v>3</v>
      </c>
      <c r="AE8" s="139" t="n">
        <v>1</v>
      </c>
      <c r="AF8" s="141" t="n">
        <v>3</v>
      </c>
      <c r="AG8" s="144" t="n">
        <v>3</v>
      </c>
      <c r="AH8" s="147" t="n">
        <v>2</v>
      </c>
      <c r="AI8" s="150" t="n">
        <v>1</v>
      </c>
      <c r="AJ8" s="152" t="n">
        <v>2</v>
      </c>
      <c r="AK8" s="152" t="n">
        <v>1</v>
      </c>
      <c r="AL8" s="157" t="n">
        <v>2</v>
      </c>
      <c r="AM8" s="159" t="n">
        <v>1</v>
      </c>
      <c r="AN8" s="162" t="n">
        <v>1</v>
      </c>
      <c r="AO8" s="162" t="n">
        <v>1</v>
      </c>
      <c r="AP8" s="165" t="n">
        <v>2</v>
      </c>
      <c r="AQ8" s="168" t="n">
        <v>1</v>
      </c>
      <c r="AR8" s="171" t="n">
        <v>2</v>
      </c>
      <c r="AS8" s="174" t="n">
        <v>3</v>
      </c>
      <c r="AT8" s="176" t="n">
        <v>4</v>
      </c>
      <c r="AU8" s="177" t="n">
        <v>1</v>
      </c>
      <c r="AV8" s="180" t="n">
        <v>2</v>
      </c>
      <c r="AW8" s="182" t="n">
        <v>4</v>
      </c>
      <c r="AX8" s="182" t="n">
        <v>5</v>
      </c>
      <c r="AY8" s="186" t="n">
        <v>3</v>
      </c>
      <c r="AZ8" s="190" t="n">
        <v>1</v>
      </c>
      <c r="BA8" s="193" t="n">
        <v>5</v>
      </c>
      <c r="BB8" s="194" t="n">
        <v>2</v>
      </c>
      <c r="BC8" s="197" t="n">
        <v>4</v>
      </c>
      <c r="BD8" s="201" t="n">
        <v>3</v>
      </c>
      <c r="BE8" s="203" t="n">
        <v>4</v>
      </c>
      <c r="BF8" s="204" t="n">
        <v>2</v>
      </c>
      <c r="BG8" s="207" t="n">
        <v>3</v>
      </c>
      <c r="BH8" s="211" t="n">
        <v>0</v>
      </c>
      <c r="BI8" s="211" t="n">
        <v>-1</v>
      </c>
      <c r="BJ8" s="211" t="n">
        <v>0</v>
      </c>
      <c r="BK8" s="210" t="n">
        <v>1</v>
      </c>
      <c r="BL8" s="210" t="n">
        <v>2</v>
      </c>
      <c r="BM8" s="210" t="n">
        <v>1</v>
      </c>
      <c r="BN8" s="215" t="n">
        <v>0</v>
      </c>
      <c r="BO8" s="215" t="n">
        <v>0</v>
      </c>
      <c r="BP8" s="214" t="n">
        <v>1</v>
      </c>
      <c r="BQ8" s="214" t="n">
        <v>1</v>
      </c>
    </row>
    <row r="9">
      <c r="A9" s="22">
        <f>"https://open.spotify.com/playlist/" &amp; C9</f>
        <v/>
      </c>
      <c r="B9" s="1" t="inlineStr">
        <is>
          <t>Gymrat 2026 | Hardcore Workout Music, Gym Motivation &amp; Beast Mode 💥🌌</t>
        </is>
      </c>
      <c r="C9" s="1" t="inlineStr">
        <is>
          <t>3iRWGxDEoxPCLs6CDuCaK6</t>
        </is>
      </c>
      <c r="D9" s="3" t="n">
        <v>220</v>
      </c>
      <c r="E9" s="19" t="n">
        <v>4</v>
      </c>
      <c r="F9" s="26" t="n">
        <v>2</v>
      </c>
      <c r="G9" s="26" t="n">
        <v>2</v>
      </c>
      <c r="H9" s="28" t="n">
        <v>3</v>
      </c>
      <c r="I9" s="31" t="n">
        <v>3</v>
      </c>
      <c r="J9" s="72" t="n">
        <v>4</v>
      </c>
      <c r="K9" s="77" t="n">
        <v>3</v>
      </c>
      <c r="L9" s="78" t="n">
        <v>5</v>
      </c>
      <c r="M9" s="81" t="n">
        <v>6</v>
      </c>
      <c r="N9" s="85" t="n">
        <v>3</v>
      </c>
      <c r="O9" s="88" t="n">
        <v>5</v>
      </c>
      <c r="P9" s="92" t="n">
        <v>1</v>
      </c>
      <c r="Q9" s="94" t="n">
        <v>4</v>
      </c>
      <c r="R9" s="98" t="n">
        <v>0</v>
      </c>
      <c r="S9" s="101" t="n">
        <v>2</v>
      </c>
      <c r="T9" s="103" t="n">
        <v>7</v>
      </c>
      <c r="U9" s="107" t="n">
        <v>1</v>
      </c>
      <c r="V9" s="110" t="n">
        <v>2</v>
      </c>
      <c r="W9" s="112" t="n">
        <v>5</v>
      </c>
      <c r="X9" s="116" t="n">
        <v>3</v>
      </c>
      <c r="Y9" s="118" t="n">
        <v>6</v>
      </c>
      <c r="Z9" s="121" t="n">
        <v>2</v>
      </c>
      <c r="AA9" s="125" t="n">
        <v>5</v>
      </c>
      <c r="AB9" s="128" t="n">
        <v>4</v>
      </c>
      <c r="AC9" s="133" t="n">
        <v>0</v>
      </c>
      <c r="AD9" s="134" t="n">
        <v>4</v>
      </c>
      <c r="AE9" s="137" t="n">
        <v>6</v>
      </c>
      <c r="AF9" s="140" t="n">
        <v>5</v>
      </c>
      <c r="AG9" s="144" t="n">
        <v>2</v>
      </c>
      <c r="AH9" s="147" t="n">
        <v>3</v>
      </c>
      <c r="AI9" s="150" t="n">
        <v>1</v>
      </c>
      <c r="AJ9" s="152" t="n">
        <v>2</v>
      </c>
      <c r="AK9" s="153" t="n">
        <v>4</v>
      </c>
      <c r="AL9" s="157" t="n">
        <v>2</v>
      </c>
      <c r="AM9" s="158" t="n">
        <v>4</v>
      </c>
      <c r="AN9" s="161" t="n">
        <v>5</v>
      </c>
      <c r="AO9" s="161" t="n">
        <v>4</v>
      </c>
      <c r="AP9" s="165" t="n">
        <v>2</v>
      </c>
      <c r="AQ9" s="169" t="n">
        <v>0</v>
      </c>
      <c r="AR9" s="172" t="n">
        <v>0</v>
      </c>
      <c r="AS9" s="173" t="n">
        <v>5</v>
      </c>
      <c r="AT9" s="177" t="n">
        <v>3</v>
      </c>
      <c r="AU9" s="178" t="n">
        <v>0</v>
      </c>
      <c r="AV9" s="179" t="n">
        <v>6</v>
      </c>
      <c r="AW9" s="184" t="n">
        <v>2</v>
      </c>
      <c r="AX9" s="184" t="n">
        <v>3</v>
      </c>
      <c r="AY9" s="186" t="n">
        <v>1</v>
      </c>
      <c r="AZ9" s="190" t="n">
        <v>3</v>
      </c>
      <c r="BA9" s="193" t="n">
        <v>4</v>
      </c>
      <c r="BB9" s="195" t="n">
        <v>4</v>
      </c>
      <c r="BC9" s="198" t="n">
        <v>2</v>
      </c>
      <c r="BD9" s="200" t="n">
        <v>5</v>
      </c>
      <c r="BE9" s="203" t="n">
        <v>4</v>
      </c>
      <c r="BF9" s="203" t="n">
        <v>4</v>
      </c>
      <c r="BG9" s="207" t="n">
        <v>2</v>
      </c>
      <c r="BH9" s="210" t="n">
        <v>1</v>
      </c>
      <c r="BI9" s="209" t="n">
        <v>10</v>
      </c>
      <c r="BJ9" s="210" t="n">
        <v>1</v>
      </c>
      <c r="BK9" s="210" t="n">
        <v>3</v>
      </c>
      <c r="BL9" s="209" t="n">
        <v>4</v>
      </c>
      <c r="BM9" s="210" t="n">
        <v>1</v>
      </c>
      <c r="BN9" s="214" t="n">
        <v>1</v>
      </c>
      <c r="BO9" s="214" t="n">
        <v>3</v>
      </c>
      <c r="BP9" s="214" t="n">
        <v>2</v>
      </c>
      <c r="BQ9" s="214" t="n">
        <v>2</v>
      </c>
    </row>
    <row r="10">
      <c r="A10" s="22">
        <f>"https://open.spotify.com/playlist/" &amp; C10</f>
        <v/>
      </c>
      <c r="B10" s="1" t="inlineStr">
        <is>
          <t>Músicas para Aula de Spinning 2026 | Treino de Bike Indoor, Pop &amp; EDM Energético 🚴‍♂️🎶</t>
        </is>
      </c>
      <c r="C10" s="1" t="inlineStr">
        <is>
          <t>651v5G7oEwoHQds973GEmX</t>
        </is>
      </c>
      <c r="D10" s="3" t="n">
        <v>578</v>
      </c>
      <c r="E10" s="19" t="n">
        <v>4</v>
      </c>
      <c r="F10" s="24" t="n">
        <v>5</v>
      </c>
      <c r="G10" s="24" t="n">
        <v>6</v>
      </c>
      <c r="H10" s="27" t="n">
        <v>5</v>
      </c>
      <c r="I10" s="30" t="n">
        <v>14</v>
      </c>
      <c r="J10" s="72" t="n">
        <v>9</v>
      </c>
      <c r="K10" s="75" t="n">
        <v>7</v>
      </c>
      <c r="L10" s="80" t="n">
        <v>0</v>
      </c>
      <c r="M10" s="81" t="n">
        <v>6</v>
      </c>
      <c r="N10" s="84" t="n">
        <v>12</v>
      </c>
      <c r="O10" s="88" t="n">
        <v>8</v>
      </c>
      <c r="P10" s="91" t="n">
        <v>12</v>
      </c>
      <c r="Q10" s="94" t="n">
        <v>8</v>
      </c>
      <c r="R10" s="97" t="n">
        <v>8</v>
      </c>
      <c r="S10" s="102" t="n">
        <v>0</v>
      </c>
      <c r="T10" s="103" t="n">
        <v>4</v>
      </c>
      <c r="U10" s="106" t="n">
        <v>11</v>
      </c>
      <c r="V10" s="109" t="n">
        <v>16</v>
      </c>
      <c r="W10" s="112" t="n">
        <v>10</v>
      </c>
      <c r="X10" s="115" t="n">
        <v>11</v>
      </c>
      <c r="Y10" s="118" t="n">
        <v>13</v>
      </c>
      <c r="Z10" s="122" t="n">
        <v>8</v>
      </c>
      <c r="AA10" s="125" t="n">
        <v>4</v>
      </c>
      <c r="AB10" s="128" t="n">
        <v>14</v>
      </c>
      <c r="AC10" s="131" t="n">
        <v>8</v>
      </c>
      <c r="AD10" s="134" t="n">
        <v>14</v>
      </c>
      <c r="AE10" s="137" t="n">
        <v>8</v>
      </c>
      <c r="AF10" s="140" t="n">
        <v>4</v>
      </c>
      <c r="AG10" s="143" t="n">
        <v>7</v>
      </c>
      <c r="AH10" s="146" t="n">
        <v>5</v>
      </c>
      <c r="AI10" s="149" t="n">
        <v>6</v>
      </c>
      <c r="AJ10" s="153" t="n">
        <v>9</v>
      </c>
      <c r="AK10" s="152" t="n">
        <v>2</v>
      </c>
      <c r="AL10" s="155" t="n">
        <v>6</v>
      </c>
      <c r="AM10" s="158" t="n">
        <v>6</v>
      </c>
      <c r="AN10" s="161" t="n">
        <v>7</v>
      </c>
      <c r="AO10" s="161" t="n">
        <v>6</v>
      </c>
      <c r="AP10" s="164" t="n">
        <v>8</v>
      </c>
      <c r="AQ10" s="167" t="n">
        <v>8</v>
      </c>
      <c r="AR10" s="170" t="n">
        <v>6</v>
      </c>
      <c r="AS10" s="173" t="n">
        <v>7</v>
      </c>
      <c r="AT10" s="176" t="n">
        <v>9</v>
      </c>
      <c r="AU10" s="176" t="n">
        <v>4</v>
      </c>
      <c r="AV10" s="179" t="n">
        <v>8</v>
      </c>
      <c r="AW10" s="182" t="n">
        <v>11</v>
      </c>
      <c r="AX10" s="182" t="n">
        <v>15</v>
      </c>
      <c r="AY10" s="185" t="n">
        <v>6</v>
      </c>
      <c r="AZ10" s="188" t="n">
        <v>8</v>
      </c>
      <c r="BA10" s="193" t="n">
        <v>7</v>
      </c>
      <c r="BB10" s="195" t="n">
        <v>6</v>
      </c>
      <c r="BC10" s="197" t="n">
        <v>11</v>
      </c>
      <c r="BD10" s="200" t="n">
        <v>5</v>
      </c>
      <c r="BE10" s="203" t="n">
        <v>8</v>
      </c>
      <c r="BF10" s="203" t="n">
        <v>10</v>
      </c>
      <c r="BG10" s="206" t="n">
        <v>18</v>
      </c>
      <c r="BH10" s="209" t="n">
        <v>7</v>
      </c>
      <c r="BI10" s="209" t="n">
        <v>8</v>
      </c>
      <c r="BJ10" s="209" t="n">
        <v>4</v>
      </c>
      <c r="BK10" s="209" t="n">
        <v>7</v>
      </c>
      <c r="BL10" s="209" t="n">
        <v>6</v>
      </c>
      <c r="BM10" s="209" t="n">
        <v>5</v>
      </c>
      <c r="BN10" s="214" t="n">
        <v>2</v>
      </c>
      <c r="BO10" s="216" t="n">
        <v>10</v>
      </c>
      <c r="BP10" s="216" t="n">
        <v>4</v>
      </c>
      <c r="BQ10" s="216" t="n">
        <v>8</v>
      </c>
    </row>
    <row r="11">
      <c r="A11" s="22">
        <f>"https://open.spotify.com/playlist/" &amp; C11</f>
        <v/>
      </c>
      <c r="B11" s="1" t="inlineStr">
        <is>
          <t>Deep Ambient Journeys 💥🧠 | Cinematic Atmospheres, Focus Music, Expansive Sound Design 2026 🌌</t>
        </is>
      </c>
      <c r="C11" s="1" t="inlineStr">
        <is>
          <t>3cfDxi2qYDBfufkbGDL0i8</t>
        </is>
      </c>
      <c r="D11" s="3" t="n">
        <v>106</v>
      </c>
      <c r="E11" s="19" t="n">
        <v>4</v>
      </c>
      <c r="F11" s="26" t="n">
        <v>2</v>
      </c>
      <c r="G11" s="26" t="n">
        <v>2</v>
      </c>
      <c r="H11" s="28" t="n">
        <v>3</v>
      </c>
      <c r="I11" s="31" t="n">
        <v>2</v>
      </c>
      <c r="J11" s="73" t="n">
        <v>2</v>
      </c>
      <c r="K11" s="76" t="n">
        <v>0</v>
      </c>
      <c r="L11" s="79" t="n">
        <v>2</v>
      </c>
      <c r="M11" s="81" t="n">
        <v>4</v>
      </c>
      <c r="N11" s="85" t="n">
        <v>1</v>
      </c>
      <c r="O11" s="89" t="n">
        <v>3</v>
      </c>
      <c r="P11" s="92" t="n">
        <v>3</v>
      </c>
      <c r="Q11" s="95" t="n">
        <v>2</v>
      </c>
      <c r="R11" s="99" t="n">
        <v>2</v>
      </c>
      <c r="S11" s="100" t="n">
        <v>4</v>
      </c>
      <c r="T11" s="104" t="n">
        <v>2</v>
      </c>
      <c r="U11" s="108" t="n">
        <v>0</v>
      </c>
      <c r="V11" s="110" t="n">
        <v>1</v>
      </c>
      <c r="W11" s="113" t="n">
        <v>2</v>
      </c>
      <c r="X11" s="117" t="n">
        <v>0</v>
      </c>
      <c r="Y11" s="119" t="n">
        <v>1</v>
      </c>
      <c r="Z11" s="121" t="n">
        <v>3</v>
      </c>
      <c r="AA11" s="126" t="n">
        <v>1</v>
      </c>
      <c r="AB11" s="130" t="n">
        <v>0</v>
      </c>
      <c r="AC11" s="132" t="n">
        <v>1</v>
      </c>
      <c r="AD11" s="136" t="n">
        <v>0</v>
      </c>
      <c r="AE11" s="139" t="n">
        <v>1</v>
      </c>
      <c r="AF11" s="142" t="n">
        <v>0</v>
      </c>
      <c r="AG11" s="144" t="n">
        <v>1</v>
      </c>
      <c r="AH11" s="147" t="n">
        <v>1</v>
      </c>
      <c r="AI11" s="151" t="n">
        <v>0</v>
      </c>
      <c r="AJ11" s="152" t="n">
        <v>1</v>
      </c>
      <c r="AK11" s="152" t="n">
        <v>2</v>
      </c>
      <c r="AL11" s="156" t="n">
        <v>0</v>
      </c>
      <c r="AM11" s="160" t="n">
        <v>0</v>
      </c>
      <c r="AN11" s="163" t="n">
        <v>0</v>
      </c>
      <c r="AO11" s="163" t="n">
        <v>0</v>
      </c>
      <c r="AP11" s="166" t="n">
        <v>0</v>
      </c>
      <c r="AQ11" s="169" t="n">
        <v>0</v>
      </c>
      <c r="AR11" s="172" t="n">
        <v>0</v>
      </c>
      <c r="AS11" s="174" t="n">
        <v>1</v>
      </c>
      <c r="AT11" s="177" t="n">
        <v>3</v>
      </c>
      <c r="AU11" s="178" t="n">
        <v>0</v>
      </c>
      <c r="AV11" s="180" t="n">
        <v>1</v>
      </c>
      <c r="AW11" s="184" t="n">
        <v>1</v>
      </c>
      <c r="AX11" s="183" t="n">
        <v>0</v>
      </c>
      <c r="AY11" s="187" t="n">
        <v>-1</v>
      </c>
      <c r="AZ11" s="189" t="n">
        <v>0</v>
      </c>
      <c r="BA11" s="192" t="n">
        <v>0</v>
      </c>
      <c r="BB11" s="196" t="n">
        <v>0</v>
      </c>
      <c r="BC11" s="199" t="n">
        <v>-1</v>
      </c>
      <c r="BD11" s="202" t="n">
        <v>0</v>
      </c>
      <c r="BE11" s="204" t="n">
        <v>1</v>
      </c>
      <c r="BF11" s="204" t="n">
        <v>1</v>
      </c>
      <c r="BG11" s="208" t="n">
        <v>0</v>
      </c>
      <c r="BH11" s="211" t="n">
        <v>0</v>
      </c>
      <c r="BI11" s="210" t="n">
        <v>1</v>
      </c>
      <c r="BJ11" s="211" t="n">
        <v>0</v>
      </c>
      <c r="BK11" s="211" t="n">
        <v>0</v>
      </c>
      <c r="BL11" s="211" t="n">
        <v>0</v>
      </c>
      <c r="BM11" s="211" t="n">
        <v>0</v>
      </c>
      <c r="BN11" s="214" t="n">
        <v>1</v>
      </c>
      <c r="BO11" s="215" t="n">
        <v>0</v>
      </c>
      <c r="BP11" s="214" t="n">
        <v>1</v>
      </c>
      <c r="BQ11" s="214" t="n">
        <v>1</v>
      </c>
    </row>
    <row r="12">
      <c r="A12" s="22">
        <f>"https://open.spotify.com/playlist/" &amp; C12</f>
        <v/>
      </c>
      <c r="B12" s="1" t="inlineStr">
        <is>
          <t>Hard Techno 2026 | Bangers Only, Rave Energy &amp; Peak-Time Beats 🔥💃</t>
        </is>
      </c>
      <c r="C12" s="1" t="inlineStr">
        <is>
          <t>2wQFTwvqOxxKo9q5pn61wG</t>
        </is>
      </c>
      <c r="D12" s="3" t="n">
        <v>80</v>
      </c>
      <c r="E12" s="20" t="n">
        <v>3</v>
      </c>
      <c r="F12" s="26" t="n">
        <v>1</v>
      </c>
      <c r="G12" s="26" t="n">
        <v>3</v>
      </c>
      <c r="H12" s="28" t="n">
        <v>1</v>
      </c>
      <c r="I12" s="32" t="n">
        <v>0</v>
      </c>
      <c r="J12" s="73" t="n">
        <v>1</v>
      </c>
      <c r="K12" s="77" t="n">
        <v>2</v>
      </c>
      <c r="L12" s="79" t="n">
        <v>1</v>
      </c>
      <c r="M12" s="83" t="n">
        <v>0</v>
      </c>
      <c r="N12" s="85" t="n">
        <v>3</v>
      </c>
      <c r="O12" s="89" t="n">
        <v>1</v>
      </c>
      <c r="P12" s="92" t="n">
        <v>1</v>
      </c>
      <c r="Q12" s="95" t="n">
        <v>1</v>
      </c>
      <c r="R12" s="98" t="n">
        <v>-1</v>
      </c>
      <c r="S12" s="102" t="n">
        <v>0</v>
      </c>
      <c r="T12" s="104" t="n">
        <v>2</v>
      </c>
      <c r="U12" s="107" t="n">
        <v>2</v>
      </c>
      <c r="V12" s="110" t="n">
        <v>3</v>
      </c>
      <c r="W12" s="113" t="n">
        <v>1</v>
      </c>
      <c r="X12" s="117" t="n">
        <v>0</v>
      </c>
      <c r="Y12" s="120" t="n">
        <v>0</v>
      </c>
      <c r="Z12" s="121" t="n">
        <v>1</v>
      </c>
      <c r="AA12" s="127" t="n">
        <v>0</v>
      </c>
      <c r="AB12" s="129" t="n">
        <v>3</v>
      </c>
      <c r="AC12" s="132" t="n">
        <v>1</v>
      </c>
      <c r="AD12" s="136" t="n">
        <v>0</v>
      </c>
      <c r="AE12" s="139" t="n">
        <v>1</v>
      </c>
      <c r="AF12" s="141" t="n">
        <v>2</v>
      </c>
      <c r="AG12" s="144" t="n">
        <v>1</v>
      </c>
      <c r="AH12" s="147" t="n">
        <v>1</v>
      </c>
      <c r="AI12" s="151" t="n">
        <v>0</v>
      </c>
      <c r="AJ12" s="154" t="n">
        <v>0</v>
      </c>
      <c r="AK12" s="152" t="n">
        <v>1</v>
      </c>
      <c r="AL12" s="156" t="n">
        <v>0</v>
      </c>
      <c r="AM12" s="160" t="n">
        <v>0</v>
      </c>
      <c r="AN12" s="163" t="n">
        <v>0</v>
      </c>
      <c r="AO12" s="163" t="n">
        <v>0</v>
      </c>
      <c r="AP12" s="166" t="n">
        <v>0</v>
      </c>
      <c r="AQ12" s="168" t="n">
        <v>1</v>
      </c>
      <c r="AR12" s="171" t="n">
        <v>1</v>
      </c>
      <c r="AS12" s="175" t="n">
        <v>0</v>
      </c>
      <c r="AT12" s="177" t="n">
        <v>1</v>
      </c>
      <c r="AU12" s="178" t="n">
        <v>0</v>
      </c>
      <c r="AV12" s="181" t="n">
        <v>0</v>
      </c>
      <c r="AW12" s="183" t="n">
        <v>0</v>
      </c>
      <c r="AX12" s="183" t="n">
        <v>0</v>
      </c>
      <c r="AY12" s="187" t="n">
        <v>0</v>
      </c>
      <c r="AZ12" s="190" t="n">
        <v>1</v>
      </c>
      <c r="BA12" s="191" t="n">
        <v>2</v>
      </c>
      <c r="BB12" s="194" t="n">
        <v>2</v>
      </c>
      <c r="BC12" s="199" t="n">
        <v>0</v>
      </c>
      <c r="BD12" s="201" t="n">
        <v>1</v>
      </c>
      <c r="BE12" s="204" t="n">
        <v>1</v>
      </c>
      <c r="BF12" s="205" t="n">
        <v>0</v>
      </c>
      <c r="BG12" s="207" t="n">
        <v>1</v>
      </c>
      <c r="BH12" s="211" t="n">
        <v>0</v>
      </c>
      <c r="BI12" s="211" t="n">
        <v>0</v>
      </c>
      <c r="BJ12" s="211" t="n">
        <v>0</v>
      </c>
      <c r="BK12" s="210" t="n">
        <v>3</v>
      </c>
      <c r="BL12" s="211" t="n">
        <v>-1</v>
      </c>
      <c r="BM12" s="211" t="n">
        <v>0</v>
      </c>
      <c r="BN12" s="214" t="n">
        <v>1</v>
      </c>
      <c r="BO12" s="214" t="n">
        <v>1</v>
      </c>
      <c r="BP12" s="215" t="n">
        <v>0</v>
      </c>
      <c r="BQ12" s="215" t="n">
        <v>0</v>
      </c>
    </row>
    <row r="13">
      <c r="A13" s="22">
        <f>"https://open.spotify.com/playlist/" &amp; C13</f>
        <v/>
      </c>
      <c r="B13" s="1" t="inlineStr">
        <is>
          <t>Upbeat Pop Songs 2026 | Feel-Good Pop Hits &amp; Happy Music ☀️🎶</t>
        </is>
      </c>
      <c r="C13" s="1" t="inlineStr">
        <is>
          <t>3efTWk4Zs5y1BsvfcjNfd0</t>
        </is>
      </c>
      <c r="D13" s="3" t="n">
        <v>150</v>
      </c>
      <c r="E13" s="20" t="n">
        <v>3</v>
      </c>
      <c r="F13" s="25" t="n">
        <v>0</v>
      </c>
      <c r="G13" s="26" t="n">
        <v>3</v>
      </c>
      <c r="H13" s="28" t="n">
        <v>3</v>
      </c>
      <c r="I13" s="31" t="n">
        <v>2</v>
      </c>
      <c r="J13" s="73" t="n">
        <v>2</v>
      </c>
      <c r="K13" s="77" t="n">
        <v>1</v>
      </c>
      <c r="L13" s="79" t="n">
        <v>1</v>
      </c>
      <c r="M13" s="82" t="n">
        <v>3</v>
      </c>
      <c r="N13" s="86" t="n">
        <v>0</v>
      </c>
      <c r="O13" s="88" t="n">
        <v>5</v>
      </c>
      <c r="P13" s="92" t="n">
        <v>2</v>
      </c>
      <c r="Q13" s="95" t="n">
        <v>2</v>
      </c>
      <c r="R13" s="99" t="n">
        <v>2</v>
      </c>
      <c r="S13" s="101" t="n">
        <v>1</v>
      </c>
      <c r="T13" s="104" t="n">
        <v>3</v>
      </c>
      <c r="U13" s="107" t="n">
        <v>3</v>
      </c>
      <c r="V13" s="110" t="n">
        <v>2</v>
      </c>
      <c r="W13" s="113" t="n">
        <v>3</v>
      </c>
      <c r="X13" s="116" t="n">
        <v>3</v>
      </c>
      <c r="Y13" s="119" t="n">
        <v>1</v>
      </c>
      <c r="Z13" s="121" t="n">
        <v>1</v>
      </c>
      <c r="AA13" s="126" t="n">
        <v>3</v>
      </c>
      <c r="AB13" s="129" t="n">
        <v>2</v>
      </c>
      <c r="AC13" s="132" t="n">
        <v>2</v>
      </c>
      <c r="AD13" s="135" t="n">
        <v>2</v>
      </c>
      <c r="AE13" s="139" t="n">
        <v>1</v>
      </c>
      <c r="AF13" s="140" t="n">
        <v>4</v>
      </c>
      <c r="AG13" s="144" t="n">
        <v>2</v>
      </c>
      <c r="AH13" s="147" t="n">
        <v>1</v>
      </c>
      <c r="AI13" s="150" t="n">
        <v>2</v>
      </c>
      <c r="AJ13" s="152" t="n">
        <v>3</v>
      </c>
      <c r="AK13" s="154" t="n">
        <v>0</v>
      </c>
      <c r="AL13" s="157" t="n">
        <v>1</v>
      </c>
      <c r="AM13" s="160" t="n">
        <v>0</v>
      </c>
      <c r="AN13" s="161" t="n">
        <v>2</v>
      </c>
      <c r="AO13" s="161" t="n">
        <v>2</v>
      </c>
      <c r="AP13" s="165" t="n">
        <v>2</v>
      </c>
      <c r="AQ13" s="168" t="n">
        <v>1</v>
      </c>
      <c r="AR13" s="171" t="n">
        <v>2</v>
      </c>
      <c r="AS13" s="174" t="n">
        <v>2</v>
      </c>
      <c r="AT13" s="178" t="n">
        <v>0</v>
      </c>
      <c r="AU13" s="177" t="n">
        <v>2</v>
      </c>
      <c r="AV13" s="179" t="n">
        <v>5</v>
      </c>
      <c r="AW13" s="184" t="n">
        <v>2</v>
      </c>
      <c r="AX13" s="182" t="n">
        <v>4</v>
      </c>
      <c r="AY13" s="186" t="n">
        <v>1</v>
      </c>
      <c r="AZ13" s="190" t="n">
        <v>2</v>
      </c>
      <c r="BA13" s="192" t="n">
        <v>0</v>
      </c>
      <c r="BB13" s="196" t="n">
        <v>0</v>
      </c>
      <c r="BC13" s="199" t="n">
        <v>-1</v>
      </c>
      <c r="BD13" s="202" t="n">
        <v>0</v>
      </c>
      <c r="BE13" s="204" t="n">
        <v>2</v>
      </c>
      <c r="BF13" s="204" t="n">
        <v>2</v>
      </c>
      <c r="BG13" s="207" t="n">
        <v>3</v>
      </c>
      <c r="BH13" s="210" t="n">
        <v>2</v>
      </c>
      <c r="BI13" s="209" t="n">
        <v>6</v>
      </c>
      <c r="BJ13" s="210" t="n">
        <v>1</v>
      </c>
      <c r="BK13" s="210" t="n">
        <v>2</v>
      </c>
      <c r="BL13" s="210" t="n">
        <v>2</v>
      </c>
      <c r="BM13" s="210" t="n">
        <v>2</v>
      </c>
      <c r="BN13" s="214" t="n">
        <v>3</v>
      </c>
      <c r="BO13" s="214" t="n">
        <v>1</v>
      </c>
      <c r="BP13" s="214" t="n">
        <v>2</v>
      </c>
      <c r="BQ13" s="214" t="n">
        <v>2</v>
      </c>
    </row>
    <row r="14">
      <c r="A14" s="22">
        <f>"https://open.spotify.com/playlist/" &amp; C14</f>
        <v/>
      </c>
      <c r="B14" s="1" t="inlineStr">
        <is>
          <t>ADHD Sleep Music features calming ambient tones, soft soundscapes, and gentle background music desig</t>
        </is>
      </c>
      <c r="C14" s="1" t="inlineStr">
        <is>
          <t>5EPuoLttPoC7SbVN4nXATu</t>
        </is>
      </c>
      <c r="D14" s="3" t="n">
        <v>35</v>
      </c>
      <c r="E14" s="20" t="n">
        <v>3</v>
      </c>
      <c r="F14" s="26" t="n">
        <v>2</v>
      </c>
      <c r="G14" s="25" t="n">
        <v>0</v>
      </c>
      <c r="H14" s="28" t="n">
        <v>1</v>
      </c>
      <c r="I14" s="32" t="n">
        <v>0</v>
      </c>
      <c r="J14" s="74" t="n">
        <v>0</v>
      </c>
      <c r="K14" s="77" t="n">
        <v>1</v>
      </c>
      <c r="L14" s="80" t="n">
        <v>0</v>
      </c>
      <c r="M14" s="82" t="n">
        <v>1</v>
      </c>
      <c r="N14" s="85" t="n">
        <v>1</v>
      </c>
      <c r="O14" s="90" t="n">
        <v>0</v>
      </c>
      <c r="P14" s="93" t="n">
        <v>0</v>
      </c>
      <c r="Q14" s="96" t="n">
        <v>0</v>
      </c>
      <c r="R14" s="99" t="n">
        <v>1</v>
      </c>
      <c r="S14" s="101" t="n">
        <v>1</v>
      </c>
      <c r="T14" s="105" t="n">
        <v>0</v>
      </c>
      <c r="U14" s="107" t="n">
        <v>1</v>
      </c>
      <c r="V14" s="111" t="n">
        <v>0</v>
      </c>
      <c r="W14" s="114" t="n">
        <v>0</v>
      </c>
      <c r="X14" s="117" t="n">
        <v>0</v>
      </c>
      <c r="Y14" s="120" t="n">
        <v>0</v>
      </c>
      <c r="Z14" s="121" t="n">
        <v>1</v>
      </c>
      <c r="AA14" s="126" t="n">
        <v>1</v>
      </c>
      <c r="AB14" s="130" t="n">
        <v>0</v>
      </c>
      <c r="AC14" s="132" t="n">
        <v>1</v>
      </c>
      <c r="AD14" s="136" t="n">
        <v>0</v>
      </c>
      <c r="AE14" s="138" t="n">
        <v>0</v>
      </c>
      <c r="AF14" s="142" t="n">
        <v>0</v>
      </c>
      <c r="AG14" s="145" t="n">
        <v>0</v>
      </c>
      <c r="AH14" s="148" t="n">
        <v>0</v>
      </c>
      <c r="AI14" s="151" t="n">
        <v>0</v>
      </c>
      <c r="AJ14" s="154" t="n">
        <v>0</v>
      </c>
      <c r="AK14" s="154" t="n">
        <v>0</v>
      </c>
      <c r="AL14" s="156" t="n">
        <v>0</v>
      </c>
      <c r="AM14" s="160" t="n">
        <v>0</v>
      </c>
      <c r="AN14" s="162" t="n">
        <v>1</v>
      </c>
      <c r="AO14" s="162" t="n">
        <v>1</v>
      </c>
      <c r="AP14" s="166" t="n">
        <v>0</v>
      </c>
      <c r="AQ14" s="169" t="n">
        <v>0</v>
      </c>
      <c r="AR14" s="172" t="n">
        <v>0</v>
      </c>
      <c r="AS14" s="175" t="n">
        <v>0</v>
      </c>
      <c r="AT14" s="178" t="n">
        <v>0</v>
      </c>
      <c r="AU14" s="177" t="n">
        <v>1</v>
      </c>
      <c r="AV14" s="181" t="n">
        <v>0</v>
      </c>
      <c r="AW14" s="184" t="n">
        <v>1</v>
      </c>
      <c r="AX14" s="184" t="n">
        <v>1</v>
      </c>
      <c r="AY14" s="187" t="n">
        <v>0</v>
      </c>
      <c r="AZ14" s="189" t="n">
        <v>0</v>
      </c>
      <c r="BA14" s="192" t="n">
        <v>0</v>
      </c>
      <c r="BB14" s="196" t="n">
        <v>0</v>
      </c>
      <c r="BC14" s="198" t="n">
        <v>1</v>
      </c>
      <c r="BD14" s="202" t="n">
        <v>0</v>
      </c>
      <c r="BE14" s="205" t="n">
        <v>0</v>
      </c>
      <c r="BF14" s="205" t="n">
        <v>0</v>
      </c>
      <c r="BG14" s="208" t="n">
        <v>0</v>
      </c>
      <c r="BH14" s="211" t="n">
        <v>0</v>
      </c>
      <c r="BI14" s="211" t="n">
        <v>0</v>
      </c>
      <c r="BJ14" s="211" t="n">
        <v>0</v>
      </c>
      <c r="BK14" s="211" t="n">
        <v>0</v>
      </c>
      <c r="BL14" s="211" t="n">
        <v>0</v>
      </c>
      <c r="BM14" s="211" t="n">
        <v>0</v>
      </c>
      <c r="BN14" s="215" t="n">
        <v>0</v>
      </c>
      <c r="BO14" s="215" t="n">
        <v>0</v>
      </c>
      <c r="BP14" s="215" t="n">
        <v>0</v>
      </c>
      <c r="BQ14" s="214" t="n">
        <v>1</v>
      </c>
    </row>
    <row r="15">
      <c r="A15" s="22">
        <f>"https://open.spotify.com/playlist/" &amp; C15</f>
        <v/>
      </c>
      <c r="B15" s="1" t="inlineStr">
        <is>
          <t>10 Hours of Deep Sleep Music | Improve Sleep 2026 🎵💪</t>
        </is>
      </c>
      <c r="C15" s="1" t="inlineStr">
        <is>
          <t>0VkEXHniyiN3V53k91nTaI</t>
        </is>
      </c>
      <c r="D15" s="3" t="n">
        <v>74</v>
      </c>
      <c r="E15" s="20" t="n">
        <v>3</v>
      </c>
      <c r="F15" s="24" t="n">
        <v>5</v>
      </c>
      <c r="G15" s="26" t="n">
        <v>2</v>
      </c>
      <c r="H15" s="28" t="n">
        <v>2</v>
      </c>
      <c r="I15" s="31" t="n">
        <v>1</v>
      </c>
      <c r="J15" s="73" t="n">
        <v>3</v>
      </c>
      <c r="K15" s="77" t="n">
        <v>2</v>
      </c>
      <c r="L15" s="79" t="n">
        <v>3</v>
      </c>
      <c r="M15" s="82" t="n">
        <v>1</v>
      </c>
      <c r="N15" s="85" t="n">
        <v>1</v>
      </c>
      <c r="O15" s="89" t="n">
        <v>1</v>
      </c>
      <c r="P15" s="92" t="n">
        <v>2</v>
      </c>
      <c r="Q15" s="95" t="n">
        <v>3</v>
      </c>
      <c r="R15" s="99" t="n">
        <v>1</v>
      </c>
      <c r="S15" s="102" t="n">
        <v>0</v>
      </c>
      <c r="T15" s="104" t="n">
        <v>1</v>
      </c>
      <c r="U15" s="107" t="n">
        <v>2</v>
      </c>
      <c r="V15" s="110" t="n">
        <v>2</v>
      </c>
      <c r="W15" s="114" t="n">
        <v>0</v>
      </c>
      <c r="X15" s="116" t="n">
        <v>2</v>
      </c>
      <c r="Y15" s="120" t="n">
        <v>0</v>
      </c>
      <c r="Z15" s="121" t="n">
        <v>2</v>
      </c>
      <c r="AA15" s="127" t="n">
        <v>0</v>
      </c>
      <c r="AB15" s="129" t="n">
        <v>1</v>
      </c>
      <c r="AC15" s="132" t="n">
        <v>1</v>
      </c>
      <c r="AD15" s="135" t="n">
        <v>2</v>
      </c>
      <c r="AE15" s="138" t="n">
        <v>0</v>
      </c>
      <c r="AF15" s="141" t="n">
        <v>1</v>
      </c>
      <c r="AG15" s="145" t="n">
        <v>0</v>
      </c>
      <c r="AH15" s="148" t="n">
        <v>0</v>
      </c>
      <c r="AI15" s="150" t="n">
        <v>1</v>
      </c>
      <c r="AJ15" s="152" t="n">
        <v>1</v>
      </c>
      <c r="AK15" s="152" t="n">
        <v>3</v>
      </c>
      <c r="AL15" s="157" t="n">
        <v>1</v>
      </c>
      <c r="AM15" s="160" t="n">
        <v>0</v>
      </c>
      <c r="AN15" s="162" t="n">
        <v>1</v>
      </c>
      <c r="AO15" s="162" t="n">
        <v>1</v>
      </c>
      <c r="AP15" s="165" t="n">
        <v>1</v>
      </c>
      <c r="AQ15" s="168" t="n">
        <v>1</v>
      </c>
      <c r="AR15" s="172" t="n">
        <v>0</v>
      </c>
      <c r="AS15" s="175" t="n">
        <v>0</v>
      </c>
      <c r="AT15" s="178" t="n">
        <v>0</v>
      </c>
      <c r="AU15" s="178" t="n">
        <v>0</v>
      </c>
      <c r="AV15" s="180" t="n">
        <v>1</v>
      </c>
      <c r="AW15" s="184" t="n">
        <v>1</v>
      </c>
      <c r="AX15" s="184" t="n">
        <v>2</v>
      </c>
      <c r="AY15" s="187" t="n">
        <v>0</v>
      </c>
      <c r="AZ15" s="189" t="n">
        <v>0</v>
      </c>
      <c r="BA15" s="192" t="n">
        <v>0</v>
      </c>
      <c r="BB15" s="196" t="n">
        <v>0</v>
      </c>
      <c r="BC15" s="198" t="n">
        <v>1</v>
      </c>
      <c r="BD15" s="202" t="n">
        <v>0</v>
      </c>
      <c r="BE15" s="205" t="n">
        <v>0</v>
      </c>
      <c r="BF15" s="204" t="n">
        <v>1</v>
      </c>
      <c r="BG15" s="207" t="n">
        <v>1</v>
      </c>
      <c r="BH15" s="211" t="n">
        <v>0</v>
      </c>
      <c r="BI15" s="211" t="n">
        <v>0</v>
      </c>
      <c r="BJ15" s="211" t="n">
        <v>0</v>
      </c>
      <c r="BK15" s="210" t="n">
        <v>1</v>
      </c>
      <c r="BL15" s="211" t="n">
        <v>0</v>
      </c>
      <c r="BM15" s="211" t="n">
        <v>0</v>
      </c>
      <c r="BN15" s="214" t="n">
        <v>1</v>
      </c>
      <c r="BO15" s="215" t="n">
        <v>0</v>
      </c>
      <c r="BP15" s="215" t="n">
        <v>0</v>
      </c>
      <c r="BQ15" s="215" t="n">
        <v>0</v>
      </c>
    </row>
    <row r="16">
      <c r="A16" s="22">
        <f>"https://open.spotify.com/playlist/" &amp; C16</f>
        <v/>
      </c>
      <c r="B16" s="1" t="inlineStr">
        <is>
          <t>Sweet Reggae &amp; Riddim 2010–2026 🌴🔥 | Reggae Hits, Dancehall, Island Vibes, Summer Classics ✨</t>
        </is>
      </c>
      <c r="C16" s="1" t="inlineStr">
        <is>
          <t>1i9mVzyn5E6RHyACqiK2Ai</t>
        </is>
      </c>
      <c r="D16" s="3" t="n">
        <v>253</v>
      </c>
      <c r="E16" s="20" t="n">
        <v>3</v>
      </c>
      <c r="F16" s="26" t="n">
        <v>2</v>
      </c>
      <c r="G16" s="24" t="n">
        <v>4</v>
      </c>
      <c r="H16" s="28" t="n">
        <v>2</v>
      </c>
      <c r="I16" s="31" t="n">
        <v>2</v>
      </c>
      <c r="J16" s="73" t="n">
        <v>3</v>
      </c>
      <c r="K16" s="77" t="n">
        <v>1</v>
      </c>
      <c r="L16" s="78" t="n">
        <v>7</v>
      </c>
      <c r="M16" s="81" t="n">
        <v>5</v>
      </c>
      <c r="N16" s="84" t="n">
        <v>4</v>
      </c>
      <c r="O16" s="89" t="n">
        <v>1</v>
      </c>
      <c r="P16" s="92" t="n">
        <v>3</v>
      </c>
      <c r="Q16" s="95" t="n">
        <v>2</v>
      </c>
      <c r="R16" s="99" t="n">
        <v>3</v>
      </c>
      <c r="S16" s="101" t="n">
        <v>2</v>
      </c>
      <c r="T16" s="104" t="n">
        <v>3</v>
      </c>
      <c r="U16" s="107" t="n">
        <v>1</v>
      </c>
      <c r="V16" s="110" t="n">
        <v>2</v>
      </c>
      <c r="W16" s="113" t="n">
        <v>3</v>
      </c>
      <c r="X16" s="116" t="n">
        <v>2</v>
      </c>
      <c r="Y16" s="118" t="n">
        <v>4</v>
      </c>
      <c r="Z16" s="121" t="n">
        <v>2</v>
      </c>
      <c r="AA16" s="126" t="n">
        <v>1</v>
      </c>
      <c r="AB16" s="129" t="n">
        <v>2</v>
      </c>
      <c r="AC16" s="132" t="n">
        <v>1</v>
      </c>
      <c r="AD16" s="135" t="n">
        <v>3</v>
      </c>
      <c r="AE16" s="139" t="n">
        <v>3</v>
      </c>
      <c r="AF16" s="141" t="n">
        <v>2</v>
      </c>
      <c r="AG16" s="144" t="n">
        <v>3</v>
      </c>
      <c r="AH16" s="147" t="n">
        <v>3</v>
      </c>
      <c r="AI16" s="151" t="n">
        <v>-1</v>
      </c>
      <c r="AJ16" s="152" t="n">
        <v>1</v>
      </c>
      <c r="AK16" s="152" t="n">
        <v>1</v>
      </c>
      <c r="AL16" s="155" t="n">
        <v>5</v>
      </c>
      <c r="AM16" s="158" t="n">
        <v>4</v>
      </c>
      <c r="AN16" s="161" t="n">
        <v>4</v>
      </c>
      <c r="AO16" s="161" t="n">
        <v>3</v>
      </c>
      <c r="AP16" s="165" t="n">
        <v>3</v>
      </c>
      <c r="AQ16" s="167" t="n">
        <v>7</v>
      </c>
      <c r="AR16" s="170" t="n">
        <v>5</v>
      </c>
      <c r="AS16" s="173" t="n">
        <v>4</v>
      </c>
      <c r="AT16" s="176" t="n">
        <v>10</v>
      </c>
      <c r="AU16" s="178" t="n">
        <v>0</v>
      </c>
      <c r="AV16" s="179" t="n">
        <v>6</v>
      </c>
      <c r="AW16" s="184" t="n">
        <v>3</v>
      </c>
      <c r="AX16" s="184" t="n">
        <v>3</v>
      </c>
      <c r="AY16" s="185" t="n">
        <v>4</v>
      </c>
      <c r="AZ16" s="190" t="n">
        <v>3</v>
      </c>
      <c r="BA16" s="191" t="n">
        <v>2</v>
      </c>
      <c r="BB16" s="195" t="n">
        <v>5</v>
      </c>
      <c r="BC16" s="198" t="n">
        <v>2</v>
      </c>
      <c r="BD16" s="200" t="n">
        <v>5</v>
      </c>
      <c r="BE16" s="203" t="n">
        <v>6</v>
      </c>
      <c r="BF16" s="205" t="n">
        <v>0</v>
      </c>
      <c r="BG16" s="206" t="n">
        <v>12</v>
      </c>
      <c r="BH16" s="210" t="n">
        <v>3</v>
      </c>
      <c r="BI16" s="209" t="n">
        <v>5</v>
      </c>
      <c r="BJ16" s="210" t="n">
        <v>3</v>
      </c>
      <c r="BK16" s="210" t="n">
        <v>1</v>
      </c>
      <c r="BL16" s="209" t="n">
        <v>4</v>
      </c>
      <c r="BM16" s="210" t="n">
        <v>1</v>
      </c>
      <c r="BN16" s="216" t="n">
        <v>7</v>
      </c>
      <c r="BO16" s="216" t="n">
        <v>5</v>
      </c>
      <c r="BP16" s="216" t="n">
        <v>9</v>
      </c>
      <c r="BQ16" s="216" t="n">
        <v>4</v>
      </c>
    </row>
    <row r="17">
      <c r="A17" s="22">
        <f>"https://open.spotify.com/playlist/" &amp; C17</f>
        <v/>
      </c>
      <c r="B17" s="1" t="inlineStr">
        <is>
          <t>Techno Mix 2026 | Rave Techno Remixes, Hard Beats, Party Gym &amp; Car Music 🧪⚡</t>
        </is>
      </c>
      <c r="C17" s="1" t="inlineStr">
        <is>
          <t>0XykLO3UBIsv12h5MUFgwX</t>
        </is>
      </c>
      <c r="D17" s="3" t="n">
        <v>261</v>
      </c>
      <c r="E17" s="20" t="n">
        <v>2</v>
      </c>
      <c r="F17" s="24" t="n">
        <v>4</v>
      </c>
      <c r="G17" s="24" t="n">
        <v>7</v>
      </c>
      <c r="H17" s="27" t="n">
        <v>4</v>
      </c>
      <c r="I17" s="31" t="n">
        <v>1</v>
      </c>
      <c r="J17" s="72" t="n">
        <v>6</v>
      </c>
      <c r="K17" s="75" t="n">
        <v>5</v>
      </c>
      <c r="L17" s="78" t="n">
        <v>6</v>
      </c>
      <c r="M17" s="82" t="n">
        <v>3</v>
      </c>
      <c r="N17" s="85" t="n">
        <v>3</v>
      </c>
      <c r="O17" s="88" t="n">
        <v>6</v>
      </c>
      <c r="P17" s="91" t="n">
        <v>4</v>
      </c>
      <c r="Q17" s="94" t="n">
        <v>5</v>
      </c>
      <c r="R17" s="97" t="n">
        <v>7</v>
      </c>
      <c r="S17" s="100" t="n">
        <v>6</v>
      </c>
      <c r="T17" s="104" t="n">
        <v>2</v>
      </c>
      <c r="U17" s="106" t="n">
        <v>11</v>
      </c>
      <c r="V17" s="109" t="n">
        <v>7</v>
      </c>
      <c r="W17" s="112" t="n">
        <v>4</v>
      </c>
      <c r="X17" s="115" t="n">
        <v>6</v>
      </c>
      <c r="Y17" s="118" t="n">
        <v>4</v>
      </c>
      <c r="Z17" s="122" t="n">
        <v>5</v>
      </c>
      <c r="AA17" s="126" t="n">
        <v>2</v>
      </c>
      <c r="AB17" s="129" t="n">
        <v>2</v>
      </c>
      <c r="AC17" s="132" t="n">
        <v>3</v>
      </c>
      <c r="AD17" s="135" t="n">
        <v>2</v>
      </c>
      <c r="AE17" s="137" t="n">
        <v>5</v>
      </c>
      <c r="AF17" s="140" t="n">
        <v>8</v>
      </c>
      <c r="AG17" s="144" t="n">
        <v>2</v>
      </c>
      <c r="AH17" s="146" t="n">
        <v>4</v>
      </c>
      <c r="AI17" s="149" t="n">
        <v>7</v>
      </c>
      <c r="AJ17" s="152" t="n">
        <v>3</v>
      </c>
      <c r="AK17" s="152" t="n">
        <v>1</v>
      </c>
      <c r="AL17" s="156" t="n">
        <v>0</v>
      </c>
      <c r="AM17" s="158" t="n">
        <v>5</v>
      </c>
      <c r="AN17" s="161" t="n">
        <v>2</v>
      </c>
      <c r="AO17" s="161" t="n">
        <v>2</v>
      </c>
      <c r="AP17" s="165" t="n">
        <v>1</v>
      </c>
      <c r="AQ17" s="168" t="n">
        <v>3</v>
      </c>
      <c r="AR17" s="170" t="n">
        <v>4</v>
      </c>
      <c r="AS17" s="174" t="n">
        <v>1</v>
      </c>
      <c r="AT17" s="177" t="n">
        <v>1</v>
      </c>
      <c r="AU17" s="176" t="n">
        <v>5</v>
      </c>
      <c r="AV17" s="180" t="n">
        <v>2</v>
      </c>
      <c r="AW17" s="184" t="n">
        <v>2</v>
      </c>
      <c r="AX17" s="183" t="n">
        <v>0</v>
      </c>
      <c r="AY17" s="186" t="n">
        <v>2</v>
      </c>
      <c r="AZ17" s="190" t="n">
        <v>2</v>
      </c>
      <c r="BA17" s="191" t="n">
        <v>2</v>
      </c>
      <c r="BB17" s="194" t="n">
        <v>2</v>
      </c>
      <c r="BC17" s="199" t="n">
        <v>0</v>
      </c>
      <c r="BD17" s="200" t="n">
        <v>4</v>
      </c>
      <c r="BE17" s="204" t="n">
        <v>1</v>
      </c>
      <c r="BF17" s="204" t="n">
        <v>1</v>
      </c>
      <c r="BG17" s="206" t="n">
        <v>5</v>
      </c>
      <c r="BH17" s="209" t="n">
        <v>4</v>
      </c>
      <c r="BI17" s="209" t="n">
        <v>5</v>
      </c>
      <c r="BJ17" s="211" t="n">
        <v>-1</v>
      </c>
      <c r="BK17" s="210" t="n">
        <v>2</v>
      </c>
      <c r="BL17" s="211" t="n">
        <v>-1</v>
      </c>
      <c r="BM17" s="209" t="n">
        <v>4</v>
      </c>
      <c r="BN17" s="215" t="n">
        <v>-1</v>
      </c>
      <c r="BO17" s="214" t="n">
        <v>2</v>
      </c>
      <c r="BP17" s="214" t="n">
        <v>1</v>
      </c>
      <c r="BQ17" s="214" t="n">
        <v>3</v>
      </c>
    </row>
    <row r="18">
      <c r="A18" s="22">
        <f>"https://open.spotify.com/playlist/" &amp; C18</f>
        <v/>
      </c>
      <c r="B18" s="1" t="inlineStr">
        <is>
          <t>Bassline Bangers ⚡ | UK Bassline, Club Hits, Heavy Bass, Speed Garage, Party Anthems 🔊</t>
        </is>
      </c>
      <c r="C18" s="1" t="inlineStr">
        <is>
          <t>4o0ifqaPQRd6Nkk61H9JKt</t>
        </is>
      </c>
      <c r="D18" s="3" t="n">
        <v>93</v>
      </c>
      <c r="E18" s="20" t="n">
        <v>2</v>
      </c>
      <c r="F18" s="26" t="n">
        <v>2</v>
      </c>
      <c r="G18" s="26" t="n">
        <v>2</v>
      </c>
      <c r="H18" s="29" t="n">
        <v>0</v>
      </c>
      <c r="I18" s="32" t="n">
        <v>0</v>
      </c>
      <c r="J18" s="73" t="n">
        <v>2</v>
      </c>
      <c r="K18" s="77" t="n">
        <v>2</v>
      </c>
      <c r="L18" s="79" t="n">
        <v>3</v>
      </c>
      <c r="M18" s="82" t="n">
        <v>2</v>
      </c>
      <c r="N18" s="85" t="n">
        <v>2</v>
      </c>
      <c r="O18" s="89" t="n">
        <v>1</v>
      </c>
      <c r="P18" s="93" t="n">
        <v>0</v>
      </c>
      <c r="Q18" s="95" t="n">
        <v>1</v>
      </c>
      <c r="R18" s="99" t="n">
        <v>1</v>
      </c>
      <c r="S18" s="101" t="n">
        <v>2</v>
      </c>
      <c r="T18" s="104" t="n">
        <v>2</v>
      </c>
      <c r="U18" s="107" t="n">
        <v>1</v>
      </c>
      <c r="V18" s="110" t="n">
        <v>1</v>
      </c>
      <c r="W18" s="113" t="n">
        <v>1</v>
      </c>
      <c r="X18" s="117" t="n">
        <v>0</v>
      </c>
      <c r="Y18" s="119" t="n">
        <v>3</v>
      </c>
      <c r="Z18" s="123" t="n">
        <v>0</v>
      </c>
      <c r="AA18" s="127" t="n">
        <v>0</v>
      </c>
      <c r="AB18" s="129" t="n">
        <v>1</v>
      </c>
      <c r="AC18" s="132" t="n">
        <v>2</v>
      </c>
      <c r="AD18" s="135" t="n">
        <v>2</v>
      </c>
      <c r="AE18" s="139" t="n">
        <v>2</v>
      </c>
      <c r="AF18" s="141" t="n">
        <v>2</v>
      </c>
      <c r="AG18" s="144" t="n">
        <v>1</v>
      </c>
      <c r="AH18" s="147" t="n">
        <v>1</v>
      </c>
      <c r="AI18" s="151" t="n">
        <v>0</v>
      </c>
      <c r="AJ18" s="154" t="n">
        <v>0</v>
      </c>
      <c r="AK18" s="152" t="n">
        <v>2</v>
      </c>
      <c r="AL18" s="156" t="n">
        <v>0</v>
      </c>
      <c r="AM18" s="159" t="n">
        <v>1</v>
      </c>
      <c r="AN18" s="163" t="n">
        <v>0</v>
      </c>
      <c r="AO18" s="163" t="n">
        <v>0</v>
      </c>
      <c r="AP18" s="165" t="n">
        <v>1</v>
      </c>
      <c r="AQ18" s="169" t="n">
        <v>0</v>
      </c>
      <c r="AR18" s="172" t="n">
        <v>0</v>
      </c>
      <c r="AS18" s="175" t="n">
        <v>0</v>
      </c>
      <c r="AT18" s="177" t="n">
        <v>1</v>
      </c>
      <c r="AU18" s="177" t="n">
        <v>1</v>
      </c>
      <c r="AV18" s="181" t="n">
        <v>0</v>
      </c>
      <c r="AW18" s="184" t="n">
        <v>1</v>
      </c>
      <c r="AX18" s="183" t="n">
        <v>0</v>
      </c>
      <c r="AY18" s="186" t="n">
        <v>1</v>
      </c>
      <c r="AZ18" s="189" t="n">
        <v>0</v>
      </c>
      <c r="BA18" s="192" t="n">
        <v>0</v>
      </c>
      <c r="BB18" s="196" t="n">
        <v>0</v>
      </c>
      <c r="BC18" s="198" t="n">
        <v>3</v>
      </c>
      <c r="BD18" s="202" t="n">
        <v>0</v>
      </c>
      <c r="BE18" s="204" t="n">
        <v>1</v>
      </c>
      <c r="BF18" s="204" t="n">
        <v>2</v>
      </c>
      <c r="BG18" s="208" t="n">
        <v>-1</v>
      </c>
      <c r="BH18" s="211" t="n">
        <v>0</v>
      </c>
      <c r="BI18" s="210" t="n">
        <v>2</v>
      </c>
      <c r="BJ18" s="210" t="n">
        <v>2</v>
      </c>
      <c r="BK18" s="211" t="n">
        <v>0</v>
      </c>
      <c r="BL18" s="211" t="n">
        <v>0</v>
      </c>
      <c r="BM18" s="210" t="n">
        <v>2</v>
      </c>
      <c r="BN18" s="214" t="n">
        <v>1</v>
      </c>
      <c r="BO18" s="215" t="n">
        <v>0</v>
      </c>
      <c r="BP18" s="214" t="n">
        <v>1</v>
      </c>
      <c r="BQ18" s="215" t="n">
        <v>0</v>
      </c>
    </row>
    <row r="19">
      <c r="A19" s="22">
        <f>"https://open.spotify.com/playlist/" &amp; C19</f>
        <v/>
      </c>
      <c r="B19" s="1" t="inlineStr">
        <is>
          <t xml:space="preserve">When My Spirit Is Weak  | Worship &amp; Christian Songs, Faith, Healing, Prayer, Gospel Praise </t>
        </is>
      </c>
      <c r="C19" s="1" t="inlineStr">
        <is>
          <t>48VQvckWuJ3kgpsTv3QqYL</t>
        </is>
      </c>
      <c r="D19" s="3" t="n">
        <v>157</v>
      </c>
      <c r="E19" s="20" t="n">
        <v>2</v>
      </c>
      <c r="F19" s="24" t="n">
        <v>4</v>
      </c>
      <c r="G19" s="26" t="n">
        <v>2</v>
      </c>
      <c r="H19" s="28" t="n">
        <v>2</v>
      </c>
      <c r="I19" s="31" t="n">
        <v>3</v>
      </c>
      <c r="J19" s="72" t="n">
        <v>6</v>
      </c>
      <c r="K19" s="75" t="n">
        <v>5</v>
      </c>
      <c r="L19" s="78" t="n">
        <v>5</v>
      </c>
      <c r="M19" s="82" t="n">
        <v>3</v>
      </c>
      <c r="N19" s="84" t="n">
        <v>5</v>
      </c>
      <c r="O19" s="89" t="n">
        <v>1</v>
      </c>
      <c r="P19" s="92" t="n">
        <v>3</v>
      </c>
      <c r="Q19" s="96" t="n">
        <v>0</v>
      </c>
      <c r="R19" s="98" t="n">
        <v>0</v>
      </c>
      <c r="S19" s="100" t="n">
        <v>4</v>
      </c>
      <c r="T19" s="104" t="n">
        <v>3</v>
      </c>
      <c r="U19" s="106" t="n">
        <v>4</v>
      </c>
      <c r="V19" s="110" t="n">
        <v>2</v>
      </c>
      <c r="W19" s="113" t="n">
        <v>3</v>
      </c>
      <c r="X19" s="116" t="n">
        <v>1</v>
      </c>
      <c r="Y19" s="119" t="n">
        <v>3</v>
      </c>
      <c r="Z19" s="121" t="n">
        <v>3</v>
      </c>
      <c r="AA19" s="125" t="n">
        <v>4</v>
      </c>
      <c r="AB19" s="129" t="n">
        <v>1</v>
      </c>
      <c r="AC19" s="133" t="n">
        <v>0</v>
      </c>
      <c r="AD19" s="135" t="n">
        <v>3</v>
      </c>
      <c r="AE19" s="139" t="n">
        <v>2</v>
      </c>
      <c r="AF19" s="141" t="n">
        <v>3</v>
      </c>
      <c r="AG19" s="144" t="n">
        <v>3</v>
      </c>
      <c r="AH19" s="147" t="n">
        <v>1</v>
      </c>
      <c r="AI19" s="151" t="n">
        <v>0</v>
      </c>
      <c r="AJ19" s="152" t="n">
        <v>3</v>
      </c>
      <c r="AK19" s="153" t="n">
        <v>4</v>
      </c>
      <c r="AL19" s="157" t="n">
        <v>1</v>
      </c>
      <c r="AM19" s="160" t="n">
        <v>0</v>
      </c>
      <c r="AN19" s="161" t="n">
        <v>3</v>
      </c>
      <c r="AO19" s="161" t="n">
        <v>2</v>
      </c>
      <c r="AP19" s="166" t="n">
        <v>0</v>
      </c>
      <c r="AQ19" s="168" t="n">
        <v>2</v>
      </c>
      <c r="AR19" s="172" t="n">
        <v>0</v>
      </c>
      <c r="AS19" s="174" t="n">
        <v>3</v>
      </c>
      <c r="AT19" s="178" t="n">
        <v>0</v>
      </c>
      <c r="AU19" s="176" t="n">
        <v>5</v>
      </c>
      <c r="AV19" s="180" t="n">
        <v>1</v>
      </c>
      <c r="AW19" s="184" t="n">
        <v>1</v>
      </c>
      <c r="AX19" s="184" t="n">
        <v>2</v>
      </c>
      <c r="AY19" s="186" t="n">
        <v>2</v>
      </c>
      <c r="AZ19" s="190" t="n">
        <v>2</v>
      </c>
      <c r="BA19" s="191" t="n">
        <v>2</v>
      </c>
      <c r="BB19" s="194" t="n">
        <v>1</v>
      </c>
      <c r="BC19" s="199" t="n">
        <v>0</v>
      </c>
      <c r="BD19" s="201" t="n">
        <v>1</v>
      </c>
      <c r="BE19" s="205" t="n">
        <v>0</v>
      </c>
      <c r="BF19" s="205" t="n">
        <v>0</v>
      </c>
      <c r="BG19" s="207" t="n">
        <v>3</v>
      </c>
      <c r="BH19" s="210" t="n">
        <v>2</v>
      </c>
      <c r="BI19" s="210" t="n">
        <v>3</v>
      </c>
      <c r="BJ19" s="211" t="n">
        <v>0</v>
      </c>
      <c r="BK19" s="210" t="n">
        <v>1</v>
      </c>
      <c r="BL19" s="210" t="n">
        <v>1</v>
      </c>
      <c r="BM19" s="210" t="n">
        <v>1</v>
      </c>
      <c r="BN19" s="214" t="n">
        <v>1</v>
      </c>
      <c r="BO19" s="214" t="n">
        <v>1</v>
      </c>
      <c r="BP19" s="215" t="n">
        <v>-1</v>
      </c>
      <c r="BQ19" s="214" t="n">
        <v>1</v>
      </c>
    </row>
    <row r="20">
      <c r="A20" s="22">
        <f>"https://open.spotify.com/playlist/" &amp; C20</f>
        <v/>
      </c>
      <c r="B20" s="1" t="inlineStr">
        <is>
          <t>Clean Girl Shower 2026 | Fresh Vibes, Soft Pop &amp; Clean Aesthetic Music 🚿🤍</t>
        </is>
      </c>
      <c r="C20" s="1" t="inlineStr">
        <is>
          <t>1ZALgJJbiBS6ZzPGOL91l8</t>
        </is>
      </c>
      <c r="D20" s="3" t="n">
        <v>184</v>
      </c>
      <c r="E20" s="20" t="n">
        <v>2</v>
      </c>
      <c r="F20" s="24" t="n">
        <v>4</v>
      </c>
      <c r="G20" s="25" t="n">
        <v>-1</v>
      </c>
      <c r="H20" s="27" t="n">
        <v>10</v>
      </c>
      <c r="I20" s="30" t="n">
        <v>10</v>
      </c>
      <c r="J20" s="72" t="n">
        <v>8</v>
      </c>
      <c r="K20" s="75" t="n">
        <v>10</v>
      </c>
      <c r="L20" s="78" t="n">
        <v>10</v>
      </c>
      <c r="M20" s="81" t="n">
        <v>8</v>
      </c>
      <c r="N20" s="84" t="n">
        <v>9</v>
      </c>
      <c r="O20" s="88" t="n">
        <v>5</v>
      </c>
      <c r="P20" s="92" t="n">
        <v>1</v>
      </c>
      <c r="Q20" s="95" t="n">
        <v>2</v>
      </c>
      <c r="R20" s="97" t="n">
        <v>4</v>
      </c>
      <c r="S20" s="101" t="n">
        <v>1</v>
      </c>
      <c r="T20" s="104" t="n">
        <v>3</v>
      </c>
      <c r="U20" s="108" t="n">
        <v>0</v>
      </c>
      <c r="V20" s="110" t="n">
        <v>1</v>
      </c>
      <c r="W20" s="112" t="n">
        <v>7</v>
      </c>
      <c r="X20" s="115" t="n">
        <v>5</v>
      </c>
      <c r="Y20" s="119" t="n">
        <v>1</v>
      </c>
      <c r="Z20" s="122" t="n">
        <v>7</v>
      </c>
      <c r="AA20" s="126" t="n">
        <v>2</v>
      </c>
      <c r="AB20" s="129" t="n">
        <v>3</v>
      </c>
      <c r="AC20" s="131" t="n">
        <v>4</v>
      </c>
      <c r="AD20" s="134" t="n">
        <v>5</v>
      </c>
      <c r="AE20" s="139" t="n">
        <v>2</v>
      </c>
      <c r="AF20" s="141" t="n">
        <v>3</v>
      </c>
      <c r="AG20" s="144" t="n">
        <v>1</v>
      </c>
      <c r="AH20" s="148" t="n">
        <v>0</v>
      </c>
      <c r="AI20" s="150" t="n">
        <v>1</v>
      </c>
      <c r="AJ20" s="152" t="n">
        <v>2</v>
      </c>
      <c r="AK20" s="152" t="n">
        <v>2</v>
      </c>
      <c r="AL20" s="157" t="n">
        <v>3</v>
      </c>
      <c r="AM20" s="159" t="n">
        <v>1</v>
      </c>
      <c r="AN20" s="161" t="n">
        <v>3</v>
      </c>
      <c r="AO20" s="161" t="n">
        <v>2</v>
      </c>
      <c r="AP20" s="165" t="n">
        <v>2</v>
      </c>
      <c r="AQ20" s="168" t="n">
        <v>3</v>
      </c>
      <c r="AR20" s="172" t="n">
        <v>0</v>
      </c>
      <c r="AS20" s="175" t="n">
        <v>-1</v>
      </c>
      <c r="AT20" s="177" t="n">
        <v>2</v>
      </c>
      <c r="AU20" s="177" t="n">
        <v>2</v>
      </c>
      <c r="AV20" s="181" t="n">
        <v>0</v>
      </c>
      <c r="AW20" s="183" t="n">
        <v>-1</v>
      </c>
      <c r="AX20" s="184" t="n">
        <v>1</v>
      </c>
      <c r="AY20" s="186" t="n">
        <v>1</v>
      </c>
      <c r="AZ20" s="189" t="n">
        <v>0</v>
      </c>
      <c r="BA20" s="191" t="n">
        <v>1</v>
      </c>
      <c r="BB20" s="194" t="n">
        <v>2</v>
      </c>
      <c r="BC20" s="199" t="n">
        <v>0</v>
      </c>
      <c r="BD20" s="202" t="n">
        <v>0</v>
      </c>
      <c r="BE20" s="205" t="n">
        <v>0</v>
      </c>
      <c r="BF20" s="204" t="n">
        <v>1</v>
      </c>
      <c r="BG20" s="208" t="n">
        <v>-2</v>
      </c>
      <c r="BH20" s="211" t="n">
        <v>-1</v>
      </c>
      <c r="BI20" s="210" t="n">
        <v>1</v>
      </c>
      <c r="BJ20" s="211" t="n">
        <v>0</v>
      </c>
      <c r="BK20" s="211" t="n">
        <v>0</v>
      </c>
      <c r="BL20" s="211" t="n">
        <v>0</v>
      </c>
      <c r="BM20" s="211" t="n">
        <v>0</v>
      </c>
      <c r="BN20" s="214" t="n">
        <v>3</v>
      </c>
      <c r="BO20" s="215" t="n">
        <v>-2</v>
      </c>
      <c r="BP20" s="215" t="n">
        <v>0</v>
      </c>
      <c r="BQ20" s="215" t="n">
        <v>0</v>
      </c>
    </row>
    <row r="21">
      <c r="A21" s="22">
        <f>"https://open.spotify.com/playlist/" &amp; C21</f>
        <v/>
      </c>
      <c r="B21" s="1" t="inlineStr">
        <is>
          <t>UNREAL Strength Mix 140-150 BPM 🖤🔥 | Powerlifting Songs &amp; Heavy Lifting</t>
        </is>
      </c>
      <c r="C21" s="1" t="inlineStr">
        <is>
          <t>77uTOkQWZ8ndU1IZiyyFUr</t>
        </is>
      </c>
      <c r="D21" s="3" t="n">
        <v>93</v>
      </c>
      <c r="E21" s="20" t="n">
        <v>2</v>
      </c>
      <c r="F21" s="25" t="n">
        <v>0</v>
      </c>
      <c r="G21" s="25" t="n">
        <v>0</v>
      </c>
      <c r="H21" s="28" t="n">
        <v>1</v>
      </c>
      <c r="I21" s="31" t="n">
        <v>2</v>
      </c>
      <c r="J21" s="73" t="n">
        <v>2</v>
      </c>
      <c r="K21" s="77" t="n">
        <v>1</v>
      </c>
      <c r="L21" s="79" t="n">
        <v>3</v>
      </c>
      <c r="M21" s="82" t="n">
        <v>2</v>
      </c>
      <c r="N21" s="85" t="n">
        <v>2</v>
      </c>
      <c r="O21" s="89" t="n">
        <v>2</v>
      </c>
      <c r="P21" s="92" t="n">
        <v>2</v>
      </c>
      <c r="Q21" s="96" t="n">
        <v>0</v>
      </c>
      <c r="R21" s="98" t="n">
        <v>0</v>
      </c>
      <c r="S21" s="102" t="n">
        <v>0</v>
      </c>
      <c r="T21" s="104" t="n">
        <v>3</v>
      </c>
      <c r="U21" s="108" t="n">
        <v>0</v>
      </c>
      <c r="V21" s="110" t="n">
        <v>2</v>
      </c>
      <c r="W21" s="113" t="n">
        <v>1</v>
      </c>
      <c r="X21" s="116" t="n">
        <v>3</v>
      </c>
      <c r="Y21" s="118" t="n">
        <v>5</v>
      </c>
      <c r="Z21" s="121" t="n">
        <v>3</v>
      </c>
      <c r="AA21" s="126" t="n">
        <v>1</v>
      </c>
      <c r="AB21" s="130" t="n">
        <v>0</v>
      </c>
      <c r="AC21" s="131" t="n">
        <v>4</v>
      </c>
      <c r="AD21" s="135" t="n">
        <v>2</v>
      </c>
      <c r="AE21" s="139" t="n">
        <v>1</v>
      </c>
      <c r="AF21" s="141" t="n">
        <v>1</v>
      </c>
      <c r="AG21" s="145" t="n">
        <v>0</v>
      </c>
      <c r="AH21" s="147" t="n">
        <v>2</v>
      </c>
      <c r="AI21" s="150" t="n">
        <v>3</v>
      </c>
      <c r="AJ21" s="154" t="n">
        <v>0</v>
      </c>
      <c r="AK21" s="152" t="n">
        <v>2</v>
      </c>
      <c r="AL21" s="157" t="n">
        <v>1</v>
      </c>
      <c r="AM21" s="159" t="n">
        <v>2</v>
      </c>
      <c r="AN21" s="162" t="n">
        <v>1</v>
      </c>
      <c r="AO21" s="162" t="n">
        <v>1</v>
      </c>
      <c r="AP21" s="166" t="n">
        <v>0</v>
      </c>
      <c r="AQ21" s="168" t="n">
        <v>1</v>
      </c>
      <c r="AR21" s="172" t="n">
        <v>0</v>
      </c>
      <c r="AS21" s="175" t="n">
        <v>-1</v>
      </c>
      <c r="AT21" s="177" t="n">
        <v>3</v>
      </c>
      <c r="AU21" s="177" t="n">
        <v>3</v>
      </c>
      <c r="AV21" s="180" t="n">
        <v>1</v>
      </c>
      <c r="AW21" s="184" t="n">
        <v>3</v>
      </c>
      <c r="AX21" s="183" t="n">
        <v>0</v>
      </c>
      <c r="AY21" s="187" t="n">
        <v>0</v>
      </c>
      <c r="AZ21" s="189" t="n">
        <v>0</v>
      </c>
      <c r="BA21" s="192" t="n">
        <v>0</v>
      </c>
      <c r="BB21" s="194" t="n">
        <v>1</v>
      </c>
      <c r="BC21" s="199" t="n">
        <v>0</v>
      </c>
      <c r="BD21" s="202" t="n">
        <v>-1</v>
      </c>
      <c r="BE21" s="204" t="n">
        <v>1</v>
      </c>
      <c r="BF21" s="204" t="n">
        <v>1</v>
      </c>
      <c r="BG21" s="207" t="n">
        <v>1</v>
      </c>
      <c r="BH21" s="210" t="n">
        <v>1</v>
      </c>
      <c r="BI21" s="211" t="n">
        <v>0</v>
      </c>
      <c r="BJ21" s="211" t="n">
        <v>0</v>
      </c>
      <c r="BK21" s="211" t="n">
        <v>0</v>
      </c>
      <c r="BL21" s="211" t="n">
        <v>0</v>
      </c>
      <c r="BM21" s="211" t="n">
        <v>-1</v>
      </c>
      <c r="BN21" s="215" t="n">
        <v>0</v>
      </c>
      <c r="BO21" s="215" t="n">
        <v>0</v>
      </c>
      <c r="BP21" s="215" t="n">
        <v>0</v>
      </c>
      <c r="BQ21" s="215" t="n">
        <v>0</v>
      </c>
    </row>
    <row r="22">
      <c r="A22" s="22">
        <f>"https://open.spotify.com/playlist/" &amp; C22</f>
        <v/>
      </c>
      <c r="B22" s="1" t="inlineStr">
        <is>
          <t>RAFFINATA Musica Ristorante di Lusso 🥂 | Playlist Cena | Musica di Sottofondo | Atmosfera Elegante</t>
        </is>
      </c>
      <c r="C22" s="1" t="inlineStr">
        <is>
          <t>0N93NsViNARrVKmstLdmUg</t>
        </is>
      </c>
      <c r="D22" s="3" t="n">
        <v>52</v>
      </c>
      <c r="E22" s="20" t="n">
        <v>2</v>
      </c>
      <c r="F22" s="26" t="n">
        <v>1</v>
      </c>
      <c r="G22" s="25" t="n">
        <v>-1</v>
      </c>
      <c r="H22" s="29" t="n">
        <v>0</v>
      </c>
      <c r="I22" s="32" t="n">
        <v>0</v>
      </c>
      <c r="J22" s="73" t="n">
        <v>1</v>
      </c>
      <c r="K22" s="76" t="n">
        <v>0</v>
      </c>
      <c r="L22" s="79" t="n">
        <v>2</v>
      </c>
      <c r="M22" s="82" t="n">
        <v>1</v>
      </c>
      <c r="N22" s="86" t="n">
        <v>0</v>
      </c>
      <c r="O22" s="89" t="n">
        <v>1</v>
      </c>
      <c r="P22" s="93" t="n">
        <v>0</v>
      </c>
      <c r="Q22" s="95" t="n">
        <v>2</v>
      </c>
      <c r="R22" s="98" t="n">
        <v>0</v>
      </c>
      <c r="S22" s="102" t="n">
        <v>0</v>
      </c>
      <c r="T22" s="105" t="n">
        <v>0</v>
      </c>
      <c r="U22" s="107" t="n">
        <v>1</v>
      </c>
      <c r="V22" s="110" t="n">
        <v>1</v>
      </c>
      <c r="W22" s="113" t="n">
        <v>1</v>
      </c>
      <c r="X22" s="117" t="n">
        <v>-1</v>
      </c>
      <c r="Y22" s="119" t="n">
        <v>1</v>
      </c>
      <c r="Z22" s="121" t="n">
        <v>1</v>
      </c>
      <c r="AA22" s="126" t="n">
        <v>1</v>
      </c>
      <c r="AB22" s="130" t="n">
        <v>0</v>
      </c>
      <c r="AC22" s="133" t="n">
        <v>0</v>
      </c>
      <c r="AD22" s="136" t="n">
        <v>0</v>
      </c>
      <c r="AE22" s="138" t="n">
        <v>0</v>
      </c>
      <c r="AF22" s="141" t="n">
        <v>1</v>
      </c>
      <c r="AG22" s="144" t="n">
        <v>1</v>
      </c>
      <c r="AH22" s="147" t="n">
        <v>1</v>
      </c>
      <c r="AI22" s="150" t="n">
        <v>1</v>
      </c>
      <c r="AJ22" s="154" t="n">
        <v>0</v>
      </c>
      <c r="AK22" s="152" t="n">
        <v>2</v>
      </c>
      <c r="AL22" s="157" t="n">
        <v>2</v>
      </c>
      <c r="AM22" s="159" t="n">
        <v>1</v>
      </c>
      <c r="AN22" s="162" t="n">
        <v>2</v>
      </c>
      <c r="AO22" s="162" t="n">
        <v>1</v>
      </c>
      <c r="AP22" s="165" t="n">
        <v>2</v>
      </c>
      <c r="AQ22" s="169" t="n">
        <v>0</v>
      </c>
      <c r="AR22" s="172" t="n">
        <v>0</v>
      </c>
      <c r="AS22" s="174" t="n">
        <v>2</v>
      </c>
      <c r="AT22" s="177" t="n">
        <v>1</v>
      </c>
      <c r="AU22" s="178" t="n">
        <v>0</v>
      </c>
      <c r="AV22" s="181" t="n">
        <v>0</v>
      </c>
      <c r="AW22" s="183" t="n">
        <v>0</v>
      </c>
      <c r="AX22" s="183" t="n">
        <v>0</v>
      </c>
      <c r="AY22" s="187" t="n">
        <v>0</v>
      </c>
      <c r="AZ22" s="190" t="n">
        <v>1</v>
      </c>
      <c r="BA22" s="192" t="n">
        <v>0</v>
      </c>
      <c r="BB22" s="196" t="n">
        <v>0</v>
      </c>
      <c r="BC22" s="199" t="n">
        <v>0</v>
      </c>
      <c r="BD22" s="202" t="n">
        <v>-1</v>
      </c>
      <c r="BE22" s="205" t="n">
        <v>0</v>
      </c>
      <c r="BF22" s="205" t="n">
        <v>0</v>
      </c>
      <c r="BG22" s="208" t="n">
        <v>0</v>
      </c>
      <c r="BH22" s="210" t="n">
        <v>1</v>
      </c>
      <c r="BI22" s="210" t="n">
        <v>1</v>
      </c>
      <c r="BJ22" s="211" t="n">
        <v>0</v>
      </c>
      <c r="BK22" s="211" t="n">
        <v>0</v>
      </c>
      <c r="BL22" s="211" t="n">
        <v>0</v>
      </c>
      <c r="BM22" s="211" t="n">
        <v>0</v>
      </c>
      <c r="BN22" s="214" t="n">
        <v>1</v>
      </c>
      <c r="BO22" s="215" t="n">
        <v>0</v>
      </c>
      <c r="BP22" s="215" t="n">
        <v>0</v>
      </c>
      <c r="BQ22" s="215" t="n">
        <v>0</v>
      </c>
    </row>
    <row r="23">
      <c r="A23" s="22">
        <f>"https://open.spotify.com/playlist/" &amp; C23</f>
        <v/>
      </c>
      <c r="B23" s="1" t="inlineStr">
        <is>
          <t>Indoor Cycling 150 BPM 2026 | Spin Class Music, High Energy Cardio &amp; Bike Workout 🚲🔥</t>
        </is>
      </c>
      <c r="C23" s="1" t="inlineStr">
        <is>
          <t>67mdwMVu3ZA3r7eXrHvUD4</t>
        </is>
      </c>
      <c r="D23" s="3" t="n">
        <v>48</v>
      </c>
      <c r="E23" s="20" t="n">
        <v>2</v>
      </c>
      <c r="F23" s="25" t="n">
        <v>0</v>
      </c>
      <c r="G23" s="26" t="n">
        <v>2</v>
      </c>
      <c r="H23" s="28" t="n">
        <v>2</v>
      </c>
      <c r="I23" s="31" t="n">
        <v>2</v>
      </c>
      <c r="J23" s="73" t="n">
        <v>2</v>
      </c>
      <c r="K23" s="77" t="n">
        <v>2</v>
      </c>
      <c r="L23" s="79" t="n">
        <v>1</v>
      </c>
      <c r="M23" s="82" t="n">
        <v>2</v>
      </c>
      <c r="N23" s="86" t="n">
        <v>0</v>
      </c>
      <c r="O23" s="89" t="n">
        <v>1</v>
      </c>
      <c r="P23" s="92" t="n">
        <v>1</v>
      </c>
      <c r="Q23" s="95" t="n">
        <v>1</v>
      </c>
      <c r="R23" s="98" t="n">
        <v>0</v>
      </c>
      <c r="S23" s="101" t="n">
        <v>1</v>
      </c>
      <c r="T23" s="105" t="n">
        <v>0</v>
      </c>
      <c r="U23" s="107" t="n">
        <v>1</v>
      </c>
      <c r="V23" s="111" t="n">
        <v>-1</v>
      </c>
      <c r="W23" s="114" t="n">
        <v>0</v>
      </c>
      <c r="X23" s="116" t="n">
        <v>1</v>
      </c>
      <c r="Y23" s="120" t="n">
        <v>0</v>
      </c>
      <c r="Z23" s="123" t="n">
        <v>0</v>
      </c>
      <c r="AA23" s="127" t="n">
        <v>0</v>
      </c>
      <c r="AB23" s="130" t="n">
        <v>0</v>
      </c>
      <c r="AC23" s="133" t="n">
        <v>0</v>
      </c>
      <c r="AD23" s="136" t="n">
        <v>0</v>
      </c>
      <c r="AE23" s="138" t="n">
        <v>0</v>
      </c>
      <c r="AF23" s="142" t="n">
        <v>0</v>
      </c>
      <c r="AG23" s="145" t="n">
        <v>0</v>
      </c>
      <c r="AH23" s="147" t="n">
        <v>1</v>
      </c>
      <c r="AI23" s="151" t="n">
        <v>0</v>
      </c>
      <c r="AJ23" s="154" t="n">
        <v>0</v>
      </c>
      <c r="AK23" s="154" t="n">
        <v>0</v>
      </c>
      <c r="AL23" s="157" t="n">
        <v>1</v>
      </c>
      <c r="AM23" s="160" t="n">
        <v>0</v>
      </c>
      <c r="AN23" s="162" t="n">
        <v>1</v>
      </c>
      <c r="AO23" s="162" t="n">
        <v>0</v>
      </c>
      <c r="AP23" s="166" t="n">
        <v>0</v>
      </c>
      <c r="AQ23" s="168" t="n">
        <v>1</v>
      </c>
      <c r="AR23" s="172" t="n">
        <v>0</v>
      </c>
      <c r="AS23" s="175" t="n">
        <v>0</v>
      </c>
      <c r="AT23" s="177" t="n">
        <v>1</v>
      </c>
      <c r="AU23" s="178" t="n">
        <v>0</v>
      </c>
      <c r="AV23" s="181" t="n">
        <v>0</v>
      </c>
      <c r="AW23" s="183" t="n">
        <v>0</v>
      </c>
      <c r="AX23" s="183" t="n">
        <v>0</v>
      </c>
      <c r="AY23" s="187" t="n">
        <v>0</v>
      </c>
      <c r="AZ23" s="189" t="n">
        <v>0</v>
      </c>
      <c r="BA23" s="192" t="n">
        <v>0</v>
      </c>
      <c r="BB23" s="196" t="n">
        <v>0</v>
      </c>
      <c r="BC23" s="198" t="n">
        <v>1</v>
      </c>
      <c r="BD23" s="202" t="n">
        <v>0</v>
      </c>
      <c r="BE23" s="205" t="n">
        <v>0</v>
      </c>
      <c r="BF23" s="204" t="n">
        <v>1</v>
      </c>
      <c r="BG23" s="208" t="n">
        <v>0</v>
      </c>
      <c r="BH23" s="210" t="n">
        <v>1</v>
      </c>
      <c r="BI23" s="211" t="n">
        <v>0</v>
      </c>
      <c r="BJ23" s="211" t="n">
        <v>0</v>
      </c>
      <c r="BK23" s="210" t="n">
        <v>1</v>
      </c>
      <c r="BL23" s="211" t="n">
        <v>0</v>
      </c>
      <c r="BM23" s="211" t="n">
        <v>0</v>
      </c>
      <c r="BN23" s="215" t="n">
        <v>0</v>
      </c>
      <c r="BO23" s="215" t="n">
        <v>0</v>
      </c>
      <c r="BP23" s="214" t="n">
        <v>1</v>
      </c>
      <c r="BQ23" s="215" t="n">
        <v>0</v>
      </c>
    </row>
    <row r="24">
      <c r="A24" s="22">
        <f>"https://open.spotify.com/playlist/" &amp; C24</f>
        <v/>
      </c>
      <c r="B24" s="1" t="inlineStr">
        <is>
          <t>INTENSO Studio per Esami 📚 | Musica per Concentrazione | Playlist Studio</t>
        </is>
      </c>
      <c r="C24" s="1" t="inlineStr">
        <is>
          <t>0GBWDlifynCW0OfGU0KaZJ</t>
        </is>
      </c>
      <c r="D24" s="3" t="n">
        <v>37</v>
      </c>
      <c r="E24" s="20" t="n">
        <v>2</v>
      </c>
      <c r="F24" s="25" t="n">
        <v>0</v>
      </c>
      <c r="G24" s="25" t="n">
        <v>0</v>
      </c>
      <c r="H24" s="29" t="n">
        <v>0</v>
      </c>
      <c r="I24" s="32" t="n">
        <v>0</v>
      </c>
      <c r="J24" s="74" t="n">
        <v>0</v>
      </c>
      <c r="K24" s="77" t="n">
        <v>3</v>
      </c>
      <c r="L24" s="79" t="n">
        <v>2</v>
      </c>
      <c r="M24" s="83" t="n">
        <v>0</v>
      </c>
      <c r="N24" s="85" t="n">
        <v>1</v>
      </c>
      <c r="O24" s="90" t="n">
        <v>0</v>
      </c>
      <c r="P24" s="93" t="n">
        <v>0</v>
      </c>
      <c r="Q24" s="95" t="n">
        <v>2</v>
      </c>
      <c r="R24" s="99" t="n">
        <v>1</v>
      </c>
      <c r="S24" s="102" t="n">
        <v>0</v>
      </c>
      <c r="T24" s="104" t="n">
        <v>1</v>
      </c>
      <c r="U24" s="107" t="n">
        <v>1</v>
      </c>
      <c r="V24" s="110" t="n">
        <v>1</v>
      </c>
      <c r="W24" s="114" t="n">
        <v>0</v>
      </c>
      <c r="X24" s="116" t="n">
        <v>1</v>
      </c>
      <c r="Y24" s="120" t="n">
        <v>-1</v>
      </c>
      <c r="Z24" s="123" t="n">
        <v>0</v>
      </c>
      <c r="AA24" s="127" t="n">
        <v>0</v>
      </c>
      <c r="AB24" s="130" t="n">
        <v>0</v>
      </c>
      <c r="AC24" s="133" t="n">
        <v>0</v>
      </c>
      <c r="AD24" s="135" t="n">
        <v>1</v>
      </c>
      <c r="AE24" s="138" t="n">
        <v>0</v>
      </c>
      <c r="AF24" s="142" t="n">
        <v>0</v>
      </c>
      <c r="AG24" s="144" t="n">
        <v>1</v>
      </c>
      <c r="AH24" s="148" t="n">
        <v>0</v>
      </c>
      <c r="AI24" s="150" t="n">
        <v>1</v>
      </c>
      <c r="AJ24" s="154" t="n">
        <v>0</v>
      </c>
      <c r="AK24" s="154" t="n">
        <v>0</v>
      </c>
      <c r="AL24" s="156" t="n">
        <v>0</v>
      </c>
      <c r="AM24" s="160" t="n">
        <v>-1</v>
      </c>
      <c r="AN24" s="162" t="n">
        <v>1</v>
      </c>
      <c r="AO24" s="162" t="n">
        <v>0</v>
      </c>
      <c r="AP24" s="166" t="n">
        <v>0</v>
      </c>
      <c r="AQ24" s="168" t="n">
        <v>1</v>
      </c>
      <c r="AR24" s="172" t="n">
        <v>0</v>
      </c>
      <c r="AS24" s="175" t="n">
        <v>0</v>
      </c>
      <c r="AT24" s="178" t="n">
        <v>0</v>
      </c>
      <c r="AU24" s="178" t="n">
        <v>0</v>
      </c>
      <c r="AV24" s="181" t="n">
        <v>0</v>
      </c>
      <c r="AW24" s="184" t="n">
        <v>2</v>
      </c>
      <c r="AX24" s="184" t="n">
        <v>1</v>
      </c>
      <c r="AY24" s="187" t="n">
        <v>0</v>
      </c>
      <c r="AZ24" s="189" t="n">
        <v>0</v>
      </c>
      <c r="BA24" s="192" t="n">
        <v>0</v>
      </c>
      <c r="BB24" s="196" t="n">
        <v>0</v>
      </c>
      <c r="BC24" s="199" t="n">
        <v>0</v>
      </c>
      <c r="BD24" s="202" t="n">
        <v>0</v>
      </c>
      <c r="BE24" s="205" t="n">
        <v>0</v>
      </c>
      <c r="BF24" s="205" t="n">
        <v>0</v>
      </c>
      <c r="BG24" s="207" t="n">
        <v>2</v>
      </c>
      <c r="BH24" s="211" t="n">
        <v>0</v>
      </c>
      <c r="BI24" s="211" t="n">
        <v>0</v>
      </c>
      <c r="BJ24" s="210" t="n">
        <v>1</v>
      </c>
      <c r="BK24" s="211" t="n">
        <v>0</v>
      </c>
      <c r="BL24" s="211" t="n">
        <v>0</v>
      </c>
      <c r="BM24" s="211" t="n">
        <v>0</v>
      </c>
      <c r="BN24" s="215" t="n">
        <v>0</v>
      </c>
      <c r="BO24" s="215" t="n">
        <v>0</v>
      </c>
      <c r="BP24" s="215" t="n">
        <v>0</v>
      </c>
      <c r="BQ24" s="215" t="n">
        <v>0</v>
      </c>
    </row>
    <row r="25">
      <c r="A25" s="22">
        <f>"https://open.spotify.com/playlist/" &amp; C25</f>
        <v/>
      </c>
      <c r="B25" s="1" t="inlineStr">
        <is>
          <t>SCHNELLE Running 150–160 BPM 🔥 Laufmusik 150–160 BPM | Tempo Run Playlist | Cardio Songs</t>
        </is>
      </c>
      <c r="C25" s="1" t="inlineStr">
        <is>
          <t>0jMj25awEUk8r96EQ6Flaz</t>
        </is>
      </c>
      <c r="D25" s="3" t="n">
        <v>263</v>
      </c>
      <c r="E25" s="20" t="n">
        <v>2</v>
      </c>
      <c r="F25" s="25" t="n">
        <v>0</v>
      </c>
      <c r="G25" s="26" t="n">
        <v>2</v>
      </c>
      <c r="H25" s="28" t="n">
        <v>3</v>
      </c>
      <c r="I25" s="30" t="n">
        <v>5</v>
      </c>
      <c r="J25" s="72" t="n">
        <v>5</v>
      </c>
      <c r="K25" s="76" t="n">
        <v>0</v>
      </c>
      <c r="L25" s="79" t="n">
        <v>3</v>
      </c>
      <c r="M25" s="82" t="n">
        <v>1</v>
      </c>
      <c r="N25" s="85" t="n">
        <v>3</v>
      </c>
      <c r="O25" s="89" t="n">
        <v>2</v>
      </c>
      <c r="P25" s="91" t="n">
        <v>7</v>
      </c>
      <c r="Q25" s="95" t="n">
        <v>2</v>
      </c>
      <c r="R25" s="97" t="n">
        <v>8</v>
      </c>
      <c r="S25" s="100" t="n">
        <v>4</v>
      </c>
      <c r="T25" s="103" t="n">
        <v>5</v>
      </c>
      <c r="U25" s="106" t="n">
        <v>5</v>
      </c>
      <c r="V25" s="111" t="n">
        <v>0</v>
      </c>
      <c r="W25" s="112" t="n">
        <v>6</v>
      </c>
      <c r="X25" s="115" t="n">
        <v>4</v>
      </c>
      <c r="Y25" s="118" t="n">
        <v>4</v>
      </c>
      <c r="Z25" s="122" t="n">
        <v>5</v>
      </c>
      <c r="AA25" s="127" t="n">
        <v>0</v>
      </c>
      <c r="AB25" s="128" t="n">
        <v>4</v>
      </c>
      <c r="AC25" s="131" t="n">
        <v>4</v>
      </c>
      <c r="AD25" s="136" t="n">
        <v>0</v>
      </c>
      <c r="AE25" s="137" t="n">
        <v>4</v>
      </c>
      <c r="AF25" s="142" t="n">
        <v>0</v>
      </c>
      <c r="AG25" s="143" t="n">
        <v>8</v>
      </c>
      <c r="AH25" s="147" t="n">
        <v>2</v>
      </c>
      <c r="AI25" s="149" t="n">
        <v>6</v>
      </c>
      <c r="AJ25" s="153" t="n">
        <v>7</v>
      </c>
      <c r="AK25" s="153" t="n">
        <v>5</v>
      </c>
      <c r="AL25" s="157" t="n">
        <v>3</v>
      </c>
      <c r="AM25" s="158" t="n">
        <v>4</v>
      </c>
      <c r="AN25" s="161" t="n">
        <v>7</v>
      </c>
      <c r="AO25" s="161" t="n">
        <v>6</v>
      </c>
      <c r="AP25" s="164" t="n">
        <v>7</v>
      </c>
      <c r="AQ25" s="167" t="n">
        <v>8</v>
      </c>
      <c r="AR25" s="170" t="n">
        <v>4</v>
      </c>
      <c r="AS25" s="174" t="n">
        <v>2</v>
      </c>
      <c r="AT25" s="176" t="n">
        <v>7</v>
      </c>
      <c r="AU25" s="176" t="n">
        <v>4</v>
      </c>
      <c r="AV25" s="180" t="n">
        <v>3</v>
      </c>
      <c r="AW25" s="182" t="n">
        <v>5</v>
      </c>
      <c r="AX25" s="182" t="n">
        <v>4</v>
      </c>
      <c r="AY25" s="185" t="n">
        <v>4</v>
      </c>
      <c r="AZ25" s="188" t="n">
        <v>6</v>
      </c>
      <c r="BA25" s="193" t="n">
        <v>9</v>
      </c>
      <c r="BB25" s="195" t="n">
        <v>5</v>
      </c>
      <c r="BC25" s="197" t="n">
        <v>8</v>
      </c>
      <c r="BD25" s="202" t="n">
        <v>-1</v>
      </c>
      <c r="BE25" s="203" t="n">
        <v>4</v>
      </c>
      <c r="BF25" s="204" t="n">
        <v>3</v>
      </c>
      <c r="BG25" s="206" t="n">
        <v>4</v>
      </c>
      <c r="BH25" s="209" t="n">
        <v>4</v>
      </c>
      <c r="BI25" s="209" t="n">
        <v>4</v>
      </c>
      <c r="BJ25" s="209" t="n">
        <v>5</v>
      </c>
      <c r="BK25" s="210" t="n">
        <v>1</v>
      </c>
      <c r="BL25" s="210" t="n">
        <v>3</v>
      </c>
      <c r="BM25" s="210" t="n">
        <v>3</v>
      </c>
      <c r="BN25" s="216" t="n">
        <v>7</v>
      </c>
      <c r="BO25" s="214" t="n">
        <v>3</v>
      </c>
      <c r="BP25" s="214" t="n">
        <v>1</v>
      </c>
      <c r="BQ25" s="214" t="n">
        <v>2</v>
      </c>
    </row>
    <row r="26">
      <c r="A26" s="22">
        <f>"https://open.spotify.com/playlist/" &amp; C26</f>
        <v/>
      </c>
      <c r="B26" s="1" t="inlineStr">
        <is>
          <t>Sleep Techno | Deep Minimal Techno, Hypnotic Beats, Night Focus &amp; Calm Energy 2026 🌌🖤</t>
        </is>
      </c>
      <c r="C26" s="1" t="inlineStr">
        <is>
          <t>7KZZUb43PWcDGnESvhFxz3</t>
        </is>
      </c>
      <c r="D26" s="3" t="n">
        <v>57</v>
      </c>
      <c r="E26" s="20" t="n">
        <v>2</v>
      </c>
      <c r="F26" s="26" t="n">
        <v>2</v>
      </c>
      <c r="G26" s="25" t="n">
        <v>0</v>
      </c>
      <c r="H26" s="29" t="n">
        <v>0</v>
      </c>
      <c r="I26" s="31" t="n">
        <v>1</v>
      </c>
      <c r="J26" s="73" t="n">
        <v>2</v>
      </c>
      <c r="K26" s="77" t="n">
        <v>2</v>
      </c>
      <c r="L26" s="79" t="n">
        <v>1</v>
      </c>
      <c r="M26" s="83" t="n">
        <v>0</v>
      </c>
      <c r="N26" s="86" t="n">
        <v>0</v>
      </c>
      <c r="O26" s="89" t="n">
        <v>1</v>
      </c>
      <c r="P26" s="91" t="n">
        <v>4</v>
      </c>
      <c r="Q26" s="96" t="n">
        <v>0</v>
      </c>
      <c r="R26" s="99" t="n">
        <v>1</v>
      </c>
      <c r="S26" s="101" t="n">
        <v>1</v>
      </c>
      <c r="T26" s="104" t="n">
        <v>1</v>
      </c>
      <c r="U26" s="107" t="n">
        <v>1</v>
      </c>
      <c r="V26" s="111" t="n">
        <v>0</v>
      </c>
      <c r="W26" s="113" t="n">
        <v>1</v>
      </c>
      <c r="X26" s="117" t="n">
        <v>0</v>
      </c>
      <c r="Y26" s="120" t="n">
        <v>0</v>
      </c>
      <c r="Z26" s="123" t="n">
        <v>0</v>
      </c>
      <c r="AA26" s="126" t="n">
        <v>2</v>
      </c>
      <c r="AB26" s="129" t="n">
        <v>1</v>
      </c>
      <c r="AC26" s="133" t="n">
        <v>0</v>
      </c>
      <c r="AD26" s="136" t="n">
        <v>0</v>
      </c>
      <c r="AE26" s="137" t="n">
        <v>5</v>
      </c>
      <c r="AF26" s="141" t="n">
        <v>1</v>
      </c>
      <c r="AG26" s="145" t="n">
        <v>0</v>
      </c>
      <c r="AH26" s="148" t="n">
        <v>0</v>
      </c>
      <c r="AI26" s="150" t="n">
        <v>1</v>
      </c>
      <c r="AJ26" s="152" t="n">
        <v>1</v>
      </c>
      <c r="AK26" s="152" t="n">
        <v>1</v>
      </c>
      <c r="AL26" s="156" t="n">
        <v>0</v>
      </c>
      <c r="AM26" s="159" t="n">
        <v>2</v>
      </c>
      <c r="AN26" s="162" t="n">
        <v>1</v>
      </c>
      <c r="AO26" s="162" t="n">
        <v>0</v>
      </c>
      <c r="AP26" s="165" t="n">
        <v>1</v>
      </c>
      <c r="AQ26" s="168" t="n">
        <v>1</v>
      </c>
      <c r="AR26" s="172" t="n">
        <v>0</v>
      </c>
      <c r="AS26" s="175" t="n">
        <v>0</v>
      </c>
      <c r="AT26" s="178" t="n">
        <v>0</v>
      </c>
      <c r="AU26" s="178" t="n">
        <v>0</v>
      </c>
      <c r="AV26" s="181" t="n">
        <v>0</v>
      </c>
      <c r="AW26" s="183" t="n">
        <v>0</v>
      </c>
      <c r="AX26" s="184" t="n">
        <v>1</v>
      </c>
      <c r="AY26" s="187" t="n">
        <v>0</v>
      </c>
      <c r="AZ26" s="190" t="n">
        <v>2</v>
      </c>
      <c r="BA26" s="192" t="n">
        <v>0</v>
      </c>
      <c r="BB26" s="196" t="n">
        <v>0</v>
      </c>
      <c r="BC26" s="198" t="n">
        <v>1</v>
      </c>
      <c r="BD26" s="202" t="n">
        <v>0</v>
      </c>
      <c r="BE26" s="205" t="n">
        <v>0</v>
      </c>
      <c r="BF26" s="204" t="n">
        <v>1</v>
      </c>
      <c r="BG26" s="206" t="n">
        <v>4</v>
      </c>
      <c r="BH26" s="210" t="n">
        <v>1</v>
      </c>
      <c r="BI26" s="211" t="n">
        <v>0</v>
      </c>
      <c r="BJ26" s="211" t="n">
        <v>0</v>
      </c>
      <c r="BK26" s="210" t="n">
        <v>2</v>
      </c>
      <c r="BL26" s="211" t="n">
        <v>0</v>
      </c>
      <c r="BM26" s="211" t="n">
        <v>0</v>
      </c>
      <c r="BN26" s="214" t="n">
        <v>1</v>
      </c>
      <c r="BO26" s="214" t="n">
        <v>1</v>
      </c>
      <c r="BP26" s="215" t="n">
        <v>0</v>
      </c>
      <c r="BQ26" s="215" t="n">
        <v>0</v>
      </c>
    </row>
    <row r="27">
      <c r="A27" s="22">
        <f>"https://open.spotify.com/playlist/" &amp; C27</f>
        <v/>
      </c>
      <c r="B27" s="1" t="inlineStr">
        <is>
          <t>Gym Temazos 2026 | Éxitos Energéticos, Motivación &amp; Canciones para Cardio 🔥💥</t>
        </is>
      </c>
      <c r="C27" s="1" t="inlineStr">
        <is>
          <t>6MFxDgRKXYZH3KxTNEpsHl</t>
        </is>
      </c>
      <c r="D27" s="3" t="n">
        <v>277</v>
      </c>
      <c r="E27" s="20" t="n">
        <v>2</v>
      </c>
      <c r="F27" s="24" t="n">
        <v>5</v>
      </c>
      <c r="G27" s="24" t="n">
        <v>5</v>
      </c>
      <c r="H27" s="27" t="n">
        <v>5</v>
      </c>
      <c r="I27" s="30" t="n">
        <v>7</v>
      </c>
      <c r="J27" s="72" t="n">
        <v>5</v>
      </c>
      <c r="K27" s="75" t="n">
        <v>4</v>
      </c>
      <c r="L27" s="79" t="n">
        <v>3</v>
      </c>
      <c r="M27" s="82" t="n">
        <v>3</v>
      </c>
      <c r="N27" s="84" t="n">
        <v>5</v>
      </c>
      <c r="O27" s="88" t="n">
        <v>8</v>
      </c>
      <c r="P27" s="92" t="n">
        <v>2</v>
      </c>
      <c r="Q27" s="95" t="n">
        <v>3</v>
      </c>
      <c r="R27" s="97" t="n">
        <v>5</v>
      </c>
      <c r="S27" s="101" t="n">
        <v>1</v>
      </c>
      <c r="T27" s="104" t="n">
        <v>2</v>
      </c>
      <c r="U27" s="107" t="n">
        <v>2</v>
      </c>
      <c r="V27" s="110" t="n">
        <v>3</v>
      </c>
      <c r="W27" s="113" t="n">
        <v>3</v>
      </c>
      <c r="X27" s="116" t="n">
        <v>2</v>
      </c>
      <c r="Y27" s="119" t="n">
        <v>2</v>
      </c>
      <c r="Z27" s="121" t="n">
        <v>2</v>
      </c>
      <c r="AA27" s="126" t="n">
        <v>2</v>
      </c>
      <c r="AB27" s="128" t="n">
        <v>6</v>
      </c>
      <c r="AC27" s="132" t="n">
        <v>3</v>
      </c>
      <c r="AD27" s="134" t="n">
        <v>4</v>
      </c>
      <c r="AE27" s="137" t="n">
        <v>6</v>
      </c>
      <c r="AF27" s="140" t="n">
        <v>5</v>
      </c>
      <c r="AG27" s="144" t="n">
        <v>3</v>
      </c>
      <c r="AH27" s="147" t="n">
        <v>1</v>
      </c>
      <c r="AI27" s="149" t="n">
        <v>5</v>
      </c>
      <c r="AJ27" s="152" t="n">
        <v>1</v>
      </c>
      <c r="AK27" s="153" t="n">
        <v>5</v>
      </c>
      <c r="AL27" s="157" t="n">
        <v>2</v>
      </c>
      <c r="AM27" s="160" t="n">
        <v>0</v>
      </c>
      <c r="AN27" s="161" t="n">
        <v>4</v>
      </c>
      <c r="AO27" s="161" t="n">
        <v>4</v>
      </c>
      <c r="AP27" s="164" t="n">
        <v>5</v>
      </c>
      <c r="AQ27" s="168" t="n">
        <v>3</v>
      </c>
      <c r="AR27" s="170" t="n">
        <v>6</v>
      </c>
      <c r="AS27" s="173" t="n">
        <v>8</v>
      </c>
      <c r="AT27" s="177" t="n">
        <v>1</v>
      </c>
      <c r="AU27" s="177" t="n">
        <v>2</v>
      </c>
      <c r="AV27" s="181" t="n">
        <v>0</v>
      </c>
      <c r="AW27" s="182" t="n">
        <v>4</v>
      </c>
      <c r="AX27" s="182" t="n">
        <v>5</v>
      </c>
      <c r="AY27" s="185" t="n">
        <v>5</v>
      </c>
      <c r="AZ27" s="188" t="n">
        <v>7</v>
      </c>
      <c r="BA27" s="193" t="n">
        <v>6</v>
      </c>
      <c r="BB27" s="195" t="n">
        <v>5</v>
      </c>
      <c r="BC27" s="198" t="n">
        <v>2</v>
      </c>
      <c r="BD27" s="200" t="n">
        <v>7</v>
      </c>
      <c r="BE27" s="203" t="n">
        <v>8</v>
      </c>
      <c r="BF27" s="203" t="n">
        <v>7</v>
      </c>
      <c r="BG27" s="206" t="n">
        <v>5</v>
      </c>
      <c r="BH27" s="210" t="n">
        <v>2</v>
      </c>
      <c r="BI27" s="209" t="n">
        <v>5</v>
      </c>
      <c r="BJ27" s="210" t="n">
        <v>3</v>
      </c>
      <c r="BK27" s="209" t="n">
        <v>6</v>
      </c>
      <c r="BL27" s="210" t="n">
        <v>3</v>
      </c>
      <c r="BM27" s="210" t="n">
        <v>1</v>
      </c>
      <c r="BN27" s="214" t="n">
        <v>3</v>
      </c>
      <c r="BO27" s="214" t="n">
        <v>1</v>
      </c>
      <c r="BP27" s="215" t="n">
        <v>-1</v>
      </c>
      <c r="BQ27" s="215" t="n">
        <v>0</v>
      </c>
    </row>
    <row r="28">
      <c r="A28" s="22">
        <f>"https://open.spotify.com/playlist/" &amp; C28</f>
        <v/>
      </c>
      <c r="B28" s="1" t="inlineStr">
        <is>
          <t>Deep Melodic House Vibes  | Melodic House &amp; Techno, Deep House, Afterhours, Night Drive</t>
        </is>
      </c>
      <c r="C28" s="1" t="inlineStr">
        <is>
          <t>3f3iOpvqurqINcgjCAEEgp</t>
        </is>
      </c>
      <c r="D28" s="3" t="n">
        <v>89</v>
      </c>
      <c r="E28" s="20" t="n">
        <v>2</v>
      </c>
      <c r="F28" s="26" t="n">
        <v>1</v>
      </c>
      <c r="G28" s="26" t="n">
        <v>2</v>
      </c>
      <c r="H28" s="28" t="n">
        <v>1</v>
      </c>
      <c r="I28" s="30" t="n">
        <v>4</v>
      </c>
      <c r="J28" s="74" t="n">
        <v>0</v>
      </c>
      <c r="K28" s="77" t="n">
        <v>2</v>
      </c>
      <c r="L28" s="79" t="n">
        <v>1</v>
      </c>
      <c r="M28" s="82" t="n">
        <v>2</v>
      </c>
      <c r="N28" s="85" t="n">
        <v>2</v>
      </c>
      <c r="O28" s="89" t="n">
        <v>1</v>
      </c>
      <c r="P28" s="92" t="n">
        <v>1</v>
      </c>
      <c r="Q28" s="95" t="n">
        <v>3</v>
      </c>
      <c r="R28" s="99" t="n">
        <v>1</v>
      </c>
      <c r="S28" s="101" t="n">
        <v>1</v>
      </c>
      <c r="T28" s="105" t="n">
        <v>0</v>
      </c>
      <c r="U28" s="107" t="n">
        <v>1</v>
      </c>
      <c r="V28" s="110" t="n">
        <v>1</v>
      </c>
      <c r="W28" s="114" t="n">
        <v>0</v>
      </c>
      <c r="X28" s="116" t="n">
        <v>3</v>
      </c>
      <c r="Y28" s="120" t="n">
        <v>0</v>
      </c>
      <c r="Z28" s="121" t="n">
        <v>3</v>
      </c>
      <c r="AA28" s="126" t="n">
        <v>1</v>
      </c>
      <c r="AB28" s="129" t="n">
        <v>3</v>
      </c>
      <c r="AC28" s="133" t="n">
        <v>0</v>
      </c>
      <c r="AD28" s="135" t="n">
        <v>2</v>
      </c>
      <c r="AE28" s="138" t="n">
        <v>0</v>
      </c>
      <c r="AF28" s="141" t="n">
        <v>1</v>
      </c>
      <c r="AG28" s="145" t="n">
        <v>0</v>
      </c>
      <c r="AH28" s="148" t="n">
        <v>0</v>
      </c>
      <c r="AI28" s="150" t="n">
        <v>1</v>
      </c>
      <c r="AJ28" s="152" t="n">
        <v>1</v>
      </c>
      <c r="AK28" s="152" t="n">
        <v>1</v>
      </c>
      <c r="AL28" s="156" t="n">
        <v>0</v>
      </c>
      <c r="AM28" s="159" t="n">
        <v>1</v>
      </c>
      <c r="AN28" s="163" t="n">
        <v>0</v>
      </c>
      <c r="AO28" s="163" t="n">
        <v>0</v>
      </c>
      <c r="AP28" s="165" t="n">
        <v>3</v>
      </c>
      <c r="AQ28" s="168" t="n">
        <v>2</v>
      </c>
      <c r="AR28" s="172" t="n">
        <v>0</v>
      </c>
      <c r="AS28" s="175" t="n">
        <v>0</v>
      </c>
      <c r="AT28" s="178" t="n">
        <v>0</v>
      </c>
      <c r="AU28" s="177" t="n">
        <v>1</v>
      </c>
      <c r="AV28" s="180" t="n">
        <v>1</v>
      </c>
      <c r="AW28" s="183" t="n">
        <v>0</v>
      </c>
      <c r="AX28" s="183" t="n">
        <v>0</v>
      </c>
      <c r="AY28" s="187" t="n">
        <v>-1</v>
      </c>
      <c r="AZ28" s="190" t="n">
        <v>1</v>
      </c>
      <c r="BA28" s="191" t="n">
        <v>1</v>
      </c>
      <c r="BB28" s="194" t="n">
        <v>1</v>
      </c>
      <c r="BC28" s="199" t="n">
        <v>0</v>
      </c>
      <c r="BD28" s="202" t="n">
        <v>0</v>
      </c>
      <c r="BE28" s="205" t="n">
        <v>0</v>
      </c>
      <c r="BF28" s="205" t="n">
        <v>0</v>
      </c>
      <c r="BG28" s="208" t="n">
        <v>0</v>
      </c>
      <c r="BH28" s="211" t="n">
        <v>0</v>
      </c>
      <c r="BI28" s="211" t="n">
        <v>0</v>
      </c>
      <c r="BJ28" s="210" t="n">
        <v>1</v>
      </c>
      <c r="BK28" s="210" t="n">
        <v>1</v>
      </c>
      <c r="BL28" s="211" t="n">
        <v>0</v>
      </c>
      <c r="BM28" s="211" t="n">
        <v>0</v>
      </c>
      <c r="BN28" s="215" t="n">
        <v>0</v>
      </c>
      <c r="BO28" s="215" t="n">
        <v>0</v>
      </c>
      <c r="BP28" s="214" t="n">
        <v>1</v>
      </c>
      <c r="BQ28" s="215" t="n">
        <v>0</v>
      </c>
    </row>
    <row r="29">
      <c r="A29" s="22">
        <f>"https://open.spotify.com/playlist/" &amp; C29</f>
        <v/>
      </c>
      <c r="B29" s="1" t="inlineStr">
        <is>
          <t xml:space="preserve">Hype Classical Study Music  | High Energy Orchestra, Epic Instrumental Focus, Study Beats 2026 </t>
        </is>
      </c>
      <c r="C29" s="1" t="inlineStr">
        <is>
          <t>47r8zSP6Oi902umYwNVv6f</t>
        </is>
      </c>
      <c r="D29" s="3" t="n">
        <v>144</v>
      </c>
      <c r="E29" s="20" t="n">
        <v>2</v>
      </c>
      <c r="F29" s="25" t="n">
        <v>0</v>
      </c>
      <c r="G29" s="24" t="n">
        <v>4</v>
      </c>
      <c r="H29" s="28" t="n">
        <v>2</v>
      </c>
      <c r="I29" s="31" t="n">
        <v>3</v>
      </c>
      <c r="J29" s="73" t="n">
        <v>3</v>
      </c>
      <c r="K29" s="77" t="n">
        <v>3</v>
      </c>
      <c r="L29" s="79" t="n">
        <v>2</v>
      </c>
      <c r="M29" s="81" t="n">
        <v>4</v>
      </c>
      <c r="N29" s="85" t="n">
        <v>2</v>
      </c>
      <c r="O29" s="89" t="n">
        <v>3</v>
      </c>
      <c r="P29" s="91" t="n">
        <v>5</v>
      </c>
      <c r="Q29" s="94" t="n">
        <v>5</v>
      </c>
      <c r="R29" s="97" t="n">
        <v>5</v>
      </c>
      <c r="S29" s="101" t="n">
        <v>1</v>
      </c>
      <c r="T29" s="104" t="n">
        <v>3</v>
      </c>
      <c r="U29" s="106" t="n">
        <v>5</v>
      </c>
      <c r="V29" s="110" t="n">
        <v>3</v>
      </c>
      <c r="W29" s="112" t="n">
        <v>4</v>
      </c>
      <c r="X29" s="116" t="n">
        <v>3</v>
      </c>
      <c r="Y29" s="120" t="n">
        <v>-1</v>
      </c>
      <c r="Z29" s="121" t="n">
        <v>2</v>
      </c>
      <c r="AA29" s="126" t="n">
        <v>1</v>
      </c>
      <c r="AB29" s="129" t="n">
        <v>2</v>
      </c>
      <c r="AC29" s="132" t="n">
        <v>1</v>
      </c>
      <c r="AD29" s="135" t="n">
        <v>1</v>
      </c>
      <c r="AE29" s="139" t="n">
        <v>2</v>
      </c>
      <c r="AF29" s="141" t="n">
        <v>2</v>
      </c>
      <c r="AG29" s="145" t="n">
        <v>0</v>
      </c>
      <c r="AH29" s="147" t="n">
        <v>1</v>
      </c>
      <c r="AI29" s="149" t="n">
        <v>4</v>
      </c>
      <c r="AJ29" s="153" t="n">
        <v>9</v>
      </c>
      <c r="AK29" s="152" t="n">
        <v>2</v>
      </c>
      <c r="AL29" s="156" t="n">
        <v>0</v>
      </c>
      <c r="AM29" s="160" t="n">
        <v>0</v>
      </c>
      <c r="AN29" s="162" t="n">
        <v>1</v>
      </c>
      <c r="AO29" s="162" t="n">
        <v>1</v>
      </c>
      <c r="AP29" s="165" t="n">
        <v>2</v>
      </c>
      <c r="AQ29" s="168" t="n">
        <v>1</v>
      </c>
      <c r="AR29" s="171" t="n">
        <v>3</v>
      </c>
      <c r="AS29" s="174" t="n">
        <v>2</v>
      </c>
      <c r="AT29" s="178" t="n">
        <v>0</v>
      </c>
      <c r="AU29" s="177" t="n">
        <v>1</v>
      </c>
      <c r="AV29" s="180" t="n">
        <v>3</v>
      </c>
      <c r="AW29" s="184" t="n">
        <v>1</v>
      </c>
      <c r="AX29" s="184" t="n">
        <v>3</v>
      </c>
      <c r="AY29" s="186" t="n">
        <v>1</v>
      </c>
      <c r="AZ29" s="190" t="n">
        <v>1</v>
      </c>
      <c r="BA29" s="193" t="n">
        <v>4</v>
      </c>
      <c r="BB29" s="196" t="n">
        <v>0</v>
      </c>
      <c r="BC29" s="198" t="n">
        <v>3</v>
      </c>
      <c r="BD29" s="202" t="n">
        <v>-1</v>
      </c>
      <c r="BE29" s="204" t="n">
        <v>1</v>
      </c>
      <c r="BF29" s="205" t="n">
        <v>0</v>
      </c>
      <c r="BG29" s="208" t="n">
        <v>-1</v>
      </c>
      <c r="BH29" s="210" t="n">
        <v>2</v>
      </c>
      <c r="BI29" s="209" t="n">
        <v>5</v>
      </c>
      <c r="BJ29" s="210" t="n">
        <v>2</v>
      </c>
      <c r="BK29" s="211" t="n">
        <v>-1</v>
      </c>
      <c r="BL29" s="211" t="n">
        <v>0</v>
      </c>
      <c r="BM29" s="210" t="n">
        <v>1</v>
      </c>
      <c r="BN29" s="214" t="n">
        <v>3</v>
      </c>
      <c r="BO29" s="215" t="n">
        <v>-1</v>
      </c>
      <c r="BP29" s="215" t="n">
        <v>0</v>
      </c>
      <c r="BQ29" s="214" t="n">
        <v>1</v>
      </c>
    </row>
    <row r="30">
      <c r="A30" s="22">
        <f>"https://open.spotify.com/playlist/" &amp; C30</f>
        <v/>
      </c>
      <c r="B30" s="1" t="inlineStr">
        <is>
          <t>741 Hz Cortisol Detox | Anxiety &amp; Stress Relief, Full Body &amp; Mind Cleanse 2026 🕺 🛌</t>
        </is>
      </c>
      <c r="C30" s="1" t="inlineStr">
        <is>
          <t>3oattIb1HIHUAr4uphNpMW</t>
        </is>
      </c>
      <c r="D30" s="3" t="n">
        <v>114</v>
      </c>
      <c r="E30" s="20" t="n">
        <v>2</v>
      </c>
      <c r="F30" s="24" t="n">
        <v>5</v>
      </c>
      <c r="G30" s="26" t="n">
        <v>1</v>
      </c>
      <c r="H30" s="28" t="n">
        <v>2</v>
      </c>
      <c r="I30" s="31" t="n">
        <v>2</v>
      </c>
      <c r="J30" s="73" t="n">
        <v>2</v>
      </c>
      <c r="K30" s="77" t="n">
        <v>2</v>
      </c>
      <c r="L30" s="78" t="n">
        <v>8</v>
      </c>
      <c r="M30" s="81" t="n">
        <v>6</v>
      </c>
      <c r="N30" s="84" t="n">
        <v>4</v>
      </c>
      <c r="O30" s="88" t="n">
        <v>4</v>
      </c>
      <c r="P30" s="92" t="n">
        <v>3</v>
      </c>
      <c r="Q30" s="95" t="n">
        <v>2</v>
      </c>
      <c r="R30" s="99" t="n">
        <v>3</v>
      </c>
      <c r="S30" s="100" t="n">
        <v>5</v>
      </c>
      <c r="T30" s="104" t="n">
        <v>1</v>
      </c>
      <c r="U30" s="106" t="n">
        <v>4</v>
      </c>
      <c r="V30" s="110" t="n">
        <v>3</v>
      </c>
      <c r="W30" s="114" t="n">
        <v>0</v>
      </c>
      <c r="X30" s="116" t="n">
        <v>1</v>
      </c>
      <c r="Y30" s="120" t="n">
        <v>0</v>
      </c>
      <c r="Z30" s="121" t="n">
        <v>1</v>
      </c>
      <c r="AA30" s="125" t="n">
        <v>4</v>
      </c>
      <c r="AB30" s="130" t="n">
        <v>0</v>
      </c>
      <c r="AC30" s="132" t="n">
        <v>2</v>
      </c>
      <c r="AD30" s="136" t="n">
        <v>0</v>
      </c>
      <c r="AE30" s="139" t="n">
        <v>2</v>
      </c>
      <c r="AF30" s="142" t="n">
        <v>0</v>
      </c>
      <c r="AG30" s="144" t="n">
        <v>2</v>
      </c>
      <c r="AH30" s="147" t="n">
        <v>1</v>
      </c>
      <c r="AI30" s="150" t="n">
        <v>1</v>
      </c>
      <c r="AJ30" s="154" t="n">
        <v>0</v>
      </c>
      <c r="AK30" s="152" t="n">
        <v>1</v>
      </c>
      <c r="AL30" s="157" t="n">
        <v>1</v>
      </c>
      <c r="AM30" s="160" t="n">
        <v>0</v>
      </c>
      <c r="AN30" s="162" t="n">
        <v>1</v>
      </c>
      <c r="AO30" s="162" t="n">
        <v>0</v>
      </c>
      <c r="AP30" s="165" t="n">
        <v>2</v>
      </c>
      <c r="AQ30" s="168" t="n">
        <v>1</v>
      </c>
      <c r="AR30" s="171" t="n">
        <v>2</v>
      </c>
      <c r="AS30" s="174" t="n">
        <v>1</v>
      </c>
      <c r="AT30" s="177" t="n">
        <v>1</v>
      </c>
      <c r="AU30" s="177" t="n">
        <v>2</v>
      </c>
      <c r="AV30" s="181" t="n">
        <v>0</v>
      </c>
      <c r="AW30" s="183" t="n">
        <v>0</v>
      </c>
      <c r="AX30" s="184" t="n">
        <v>1</v>
      </c>
      <c r="AY30" s="186" t="n">
        <v>2</v>
      </c>
      <c r="AZ30" s="190" t="n">
        <v>1</v>
      </c>
      <c r="BA30" s="192" t="n">
        <v>0</v>
      </c>
      <c r="BB30" s="196" t="n">
        <v>-1</v>
      </c>
      <c r="BC30" s="198" t="n">
        <v>1</v>
      </c>
      <c r="BD30" s="202" t="n">
        <v>0</v>
      </c>
      <c r="BE30" s="204" t="n">
        <v>3</v>
      </c>
      <c r="BF30" s="204" t="n">
        <v>1</v>
      </c>
      <c r="BG30" s="208" t="n">
        <v>0</v>
      </c>
      <c r="BH30" s="211" t="n">
        <v>0</v>
      </c>
      <c r="BI30" s="210" t="n">
        <v>2</v>
      </c>
      <c r="BJ30" s="211" t="n">
        <v>0</v>
      </c>
      <c r="BK30" s="211" t="n">
        <v>0</v>
      </c>
      <c r="BL30" s="211" t="n">
        <v>0</v>
      </c>
      <c r="BM30" s="211" t="n">
        <v>0</v>
      </c>
      <c r="BN30" s="214" t="n">
        <v>1</v>
      </c>
      <c r="BO30" s="214" t="n">
        <v>1</v>
      </c>
      <c r="BP30" s="214" t="n">
        <v>1</v>
      </c>
      <c r="BQ30" s="214" t="n">
        <v>1</v>
      </c>
    </row>
    <row r="31">
      <c r="A31" s="22">
        <f>"https://open.spotify.com/playlist/" &amp; C31</f>
        <v/>
      </c>
      <c r="B31" s="1" t="inlineStr">
        <is>
          <t>Techno Bass Boosted 2026 | Car Music Remixes, Heavy Bass, Driving Techno 🔥🚗</t>
        </is>
      </c>
      <c r="C31" s="1" t="inlineStr">
        <is>
          <t>6LcancOhpGjazrN8v3uWBc</t>
        </is>
      </c>
      <c r="D31" s="3" t="n">
        <v>260</v>
      </c>
      <c r="E31" s="20" t="n">
        <v>2</v>
      </c>
      <c r="F31" s="24" t="n">
        <v>6</v>
      </c>
      <c r="G31" s="26" t="n">
        <v>1</v>
      </c>
      <c r="H31" s="27" t="n">
        <v>4</v>
      </c>
      <c r="I31" s="31" t="n">
        <v>2</v>
      </c>
      <c r="J31" s="73" t="n">
        <v>1</v>
      </c>
      <c r="K31" s="77" t="n">
        <v>1</v>
      </c>
      <c r="L31" s="78" t="n">
        <v>7</v>
      </c>
      <c r="M31" s="81" t="n">
        <v>4</v>
      </c>
      <c r="N31" s="85" t="n">
        <v>3</v>
      </c>
      <c r="O31" s="88" t="n">
        <v>4</v>
      </c>
      <c r="P31" s="92" t="n">
        <v>3</v>
      </c>
      <c r="Q31" s="94" t="n">
        <v>4</v>
      </c>
      <c r="R31" s="99" t="n">
        <v>3</v>
      </c>
      <c r="S31" s="100" t="n">
        <v>4</v>
      </c>
      <c r="T31" s="104" t="n">
        <v>2</v>
      </c>
      <c r="U31" s="106" t="n">
        <v>5</v>
      </c>
      <c r="V31" s="110" t="n">
        <v>3</v>
      </c>
      <c r="W31" s="113" t="n">
        <v>3</v>
      </c>
      <c r="X31" s="116" t="n">
        <v>1</v>
      </c>
      <c r="Y31" s="118" t="n">
        <v>5</v>
      </c>
      <c r="Z31" s="121" t="n">
        <v>2</v>
      </c>
      <c r="AA31" s="126" t="n">
        <v>2</v>
      </c>
      <c r="AB31" s="128" t="n">
        <v>4</v>
      </c>
      <c r="AC31" s="131" t="n">
        <v>4</v>
      </c>
      <c r="AD31" s="134" t="n">
        <v>6</v>
      </c>
      <c r="AE31" s="139" t="n">
        <v>2</v>
      </c>
      <c r="AF31" s="141" t="n">
        <v>1</v>
      </c>
      <c r="AG31" s="143" t="n">
        <v>4</v>
      </c>
      <c r="AH31" s="147" t="n">
        <v>2</v>
      </c>
      <c r="AI31" s="150" t="n">
        <v>1</v>
      </c>
      <c r="AJ31" s="152" t="n">
        <v>2</v>
      </c>
      <c r="AK31" s="152" t="n">
        <v>2</v>
      </c>
      <c r="AL31" s="155" t="n">
        <v>4</v>
      </c>
      <c r="AM31" s="158" t="n">
        <v>4</v>
      </c>
      <c r="AN31" s="161" t="n">
        <v>5</v>
      </c>
      <c r="AO31" s="161" t="n">
        <v>5</v>
      </c>
      <c r="AP31" s="165" t="n">
        <v>3</v>
      </c>
      <c r="AQ31" s="168" t="n">
        <v>2</v>
      </c>
      <c r="AR31" s="171" t="n">
        <v>3</v>
      </c>
      <c r="AS31" s="174" t="n">
        <v>3</v>
      </c>
      <c r="AT31" s="177" t="n">
        <v>2</v>
      </c>
      <c r="AU31" s="177" t="n">
        <v>3</v>
      </c>
      <c r="AV31" s="180" t="n">
        <v>2</v>
      </c>
      <c r="AW31" s="184" t="n">
        <v>1</v>
      </c>
      <c r="AX31" s="184" t="n">
        <v>2</v>
      </c>
      <c r="AY31" s="186" t="n">
        <v>2</v>
      </c>
      <c r="AZ31" s="190" t="n">
        <v>1</v>
      </c>
      <c r="BA31" s="193" t="n">
        <v>5</v>
      </c>
      <c r="BB31" s="194" t="n">
        <v>1</v>
      </c>
      <c r="BC31" s="198" t="n">
        <v>2</v>
      </c>
      <c r="BD31" s="200" t="n">
        <v>5</v>
      </c>
      <c r="BE31" s="203" t="n">
        <v>5</v>
      </c>
      <c r="BF31" s="203" t="n">
        <v>6</v>
      </c>
      <c r="BG31" s="206" t="n">
        <v>7</v>
      </c>
      <c r="BH31" s="210" t="n">
        <v>2</v>
      </c>
      <c r="BI31" s="209" t="n">
        <v>7</v>
      </c>
      <c r="BJ31" s="210" t="n">
        <v>2</v>
      </c>
      <c r="BK31" s="209" t="n">
        <v>6</v>
      </c>
      <c r="BL31" s="210" t="n">
        <v>2</v>
      </c>
      <c r="BM31" s="209" t="n">
        <v>7</v>
      </c>
      <c r="BN31" s="216" t="n">
        <v>6</v>
      </c>
      <c r="BO31" s="216" t="n">
        <v>8</v>
      </c>
      <c r="BP31" s="214" t="n">
        <v>3</v>
      </c>
      <c r="BQ31" s="216" t="n">
        <v>6</v>
      </c>
    </row>
    <row r="32">
      <c r="A32" s="22">
        <f>"https://open.spotify.com/playlist/" &amp; C32</f>
        <v/>
      </c>
      <c r="B32" s="1" t="inlineStr">
        <is>
          <t>Cleanse Home &amp; Body from Negative Energy | Healing Frequency Music 2026 🏋️😴</t>
        </is>
      </c>
      <c r="C32" s="1" t="inlineStr">
        <is>
          <t>0TB2sckC3glHGD9cgoRNna</t>
        </is>
      </c>
      <c r="D32" s="3" t="n">
        <v>120</v>
      </c>
      <c r="E32" s="20" t="n">
        <v>2</v>
      </c>
      <c r="F32" s="26" t="n">
        <v>2</v>
      </c>
      <c r="G32" s="26" t="n">
        <v>1</v>
      </c>
      <c r="H32" s="28" t="n">
        <v>3</v>
      </c>
      <c r="I32" s="30" t="n">
        <v>5</v>
      </c>
      <c r="J32" s="73" t="n">
        <v>3</v>
      </c>
      <c r="K32" s="75" t="n">
        <v>5</v>
      </c>
      <c r="L32" s="78" t="n">
        <v>4</v>
      </c>
      <c r="M32" s="82" t="n">
        <v>1</v>
      </c>
      <c r="N32" s="85" t="n">
        <v>3</v>
      </c>
      <c r="O32" s="88" t="n">
        <v>4</v>
      </c>
      <c r="P32" s="92" t="n">
        <v>3</v>
      </c>
      <c r="Q32" s="95" t="n">
        <v>1</v>
      </c>
      <c r="R32" s="99" t="n">
        <v>1</v>
      </c>
      <c r="S32" s="101" t="n">
        <v>3</v>
      </c>
      <c r="T32" s="105" t="n">
        <v>0</v>
      </c>
      <c r="U32" s="107" t="n">
        <v>2</v>
      </c>
      <c r="V32" s="110" t="n">
        <v>2</v>
      </c>
      <c r="W32" s="113" t="n">
        <v>1</v>
      </c>
      <c r="X32" s="117" t="n">
        <v>0</v>
      </c>
      <c r="Y32" s="118" t="n">
        <v>4</v>
      </c>
      <c r="Z32" s="123" t="n">
        <v>0</v>
      </c>
      <c r="AA32" s="127" t="n">
        <v>0</v>
      </c>
      <c r="AB32" s="130" t="n">
        <v>0</v>
      </c>
      <c r="AC32" s="132" t="n">
        <v>2</v>
      </c>
      <c r="AD32" s="135" t="n">
        <v>1</v>
      </c>
      <c r="AE32" s="139" t="n">
        <v>1</v>
      </c>
      <c r="AF32" s="141" t="n">
        <v>1</v>
      </c>
      <c r="AG32" s="145" t="n">
        <v>0</v>
      </c>
      <c r="AH32" s="147" t="n">
        <v>1</v>
      </c>
      <c r="AI32" s="151" t="n">
        <v>0</v>
      </c>
      <c r="AJ32" s="152" t="n">
        <v>1</v>
      </c>
      <c r="AK32" s="154" t="n">
        <v>0</v>
      </c>
      <c r="AL32" s="157" t="n">
        <v>2</v>
      </c>
      <c r="AM32" s="159" t="n">
        <v>1</v>
      </c>
      <c r="AN32" s="163" t="n">
        <v>0</v>
      </c>
      <c r="AO32" s="163" t="n">
        <v>0</v>
      </c>
      <c r="AP32" s="165" t="n">
        <v>2</v>
      </c>
      <c r="AQ32" s="168" t="n">
        <v>3</v>
      </c>
      <c r="AR32" s="172" t="n">
        <v>0</v>
      </c>
      <c r="AS32" s="174" t="n">
        <v>2</v>
      </c>
      <c r="AT32" s="177" t="n">
        <v>3</v>
      </c>
      <c r="AU32" s="177" t="n">
        <v>1</v>
      </c>
      <c r="AV32" s="180" t="n">
        <v>1</v>
      </c>
      <c r="AW32" s="183" t="n">
        <v>0</v>
      </c>
      <c r="AX32" s="183" t="n">
        <v>0</v>
      </c>
      <c r="AY32" s="186" t="n">
        <v>1</v>
      </c>
      <c r="AZ32" s="190" t="n">
        <v>2</v>
      </c>
      <c r="BA32" s="192" t="n">
        <v>0</v>
      </c>
      <c r="BB32" s="196" t="n">
        <v>0</v>
      </c>
      <c r="BC32" s="198" t="n">
        <v>1</v>
      </c>
      <c r="BD32" s="202" t="n">
        <v>0</v>
      </c>
      <c r="BE32" s="204" t="n">
        <v>3</v>
      </c>
      <c r="BF32" s="205" t="n">
        <v>0</v>
      </c>
      <c r="BG32" s="207" t="n">
        <v>3</v>
      </c>
      <c r="BH32" s="211" t="n">
        <v>0</v>
      </c>
      <c r="BI32" s="211" t="n">
        <v>0</v>
      </c>
      <c r="BJ32" s="210" t="n">
        <v>2</v>
      </c>
      <c r="BK32" s="210" t="n">
        <v>1</v>
      </c>
      <c r="BL32" s="210" t="n">
        <v>1</v>
      </c>
      <c r="BM32" s="210" t="n">
        <v>2</v>
      </c>
      <c r="BN32" s="214" t="n">
        <v>1</v>
      </c>
      <c r="BO32" s="215" t="n">
        <v>0</v>
      </c>
      <c r="BP32" s="215" t="n">
        <v>0</v>
      </c>
      <c r="BQ32" s="215" t="n">
        <v>0</v>
      </c>
    </row>
    <row r="33">
      <c r="A33" s="22">
        <f>"https://open.spotify.com/playlist/" &amp; C33</f>
        <v/>
      </c>
      <c r="B33" s="1" t="inlineStr">
        <is>
          <t>Zumba Beats 2026 | Zumba Workout Music, Dance Fitness &amp; High-Energy Hits 💃🔥</t>
        </is>
      </c>
      <c r="C33" s="1" t="inlineStr">
        <is>
          <t>5NGL7eGt7jkANT2raweVZP</t>
        </is>
      </c>
      <c r="D33" s="3" t="n">
        <v>109</v>
      </c>
      <c r="E33" s="20" t="n">
        <v>2</v>
      </c>
      <c r="F33" s="26" t="n">
        <v>2</v>
      </c>
      <c r="G33" s="24" t="n">
        <v>4</v>
      </c>
      <c r="H33" s="28" t="n">
        <v>1</v>
      </c>
      <c r="I33" s="31" t="n">
        <v>1</v>
      </c>
      <c r="J33" s="73" t="n">
        <v>3</v>
      </c>
      <c r="K33" s="77" t="n">
        <v>2</v>
      </c>
      <c r="L33" s="79" t="n">
        <v>3</v>
      </c>
      <c r="M33" s="82" t="n">
        <v>1</v>
      </c>
      <c r="N33" s="85" t="n">
        <v>3</v>
      </c>
      <c r="O33" s="90" t="n">
        <v>0</v>
      </c>
      <c r="P33" s="91" t="n">
        <v>5</v>
      </c>
      <c r="Q33" s="96" t="n">
        <v>0</v>
      </c>
      <c r="R33" s="99" t="n">
        <v>3</v>
      </c>
      <c r="S33" s="101" t="n">
        <v>2</v>
      </c>
      <c r="T33" s="104" t="n">
        <v>3</v>
      </c>
      <c r="U33" s="107" t="n">
        <v>2</v>
      </c>
      <c r="V33" s="109" t="n">
        <v>4</v>
      </c>
      <c r="W33" s="113" t="n">
        <v>1</v>
      </c>
      <c r="X33" s="116" t="n">
        <v>2</v>
      </c>
      <c r="Y33" s="120" t="n">
        <v>0</v>
      </c>
      <c r="Z33" s="121" t="n">
        <v>1</v>
      </c>
      <c r="AA33" s="126" t="n">
        <v>3</v>
      </c>
      <c r="AB33" s="129" t="n">
        <v>1</v>
      </c>
      <c r="AC33" s="132" t="n">
        <v>3</v>
      </c>
      <c r="AD33" s="135" t="n">
        <v>2</v>
      </c>
      <c r="AE33" s="139" t="n">
        <v>2</v>
      </c>
      <c r="AF33" s="141" t="n">
        <v>2</v>
      </c>
      <c r="AG33" s="144" t="n">
        <v>1</v>
      </c>
      <c r="AH33" s="148" t="n">
        <v>0</v>
      </c>
      <c r="AI33" s="151" t="n">
        <v>0</v>
      </c>
      <c r="AJ33" s="152" t="n">
        <v>2</v>
      </c>
      <c r="AK33" s="154" t="n">
        <v>0</v>
      </c>
      <c r="AL33" s="156" t="n">
        <v>0</v>
      </c>
      <c r="AM33" s="159" t="n">
        <v>1</v>
      </c>
      <c r="AN33" s="163" t="n">
        <v>0</v>
      </c>
      <c r="AO33" s="163" t="n">
        <v>0</v>
      </c>
      <c r="AP33" s="165" t="n">
        <v>2</v>
      </c>
      <c r="AQ33" s="169" t="n">
        <v>0</v>
      </c>
      <c r="AR33" s="172" t="n">
        <v>0</v>
      </c>
      <c r="AS33" s="174" t="n">
        <v>2</v>
      </c>
      <c r="AT33" s="177" t="n">
        <v>1</v>
      </c>
      <c r="AU33" s="177" t="n">
        <v>1</v>
      </c>
      <c r="AV33" s="180" t="n">
        <v>2</v>
      </c>
      <c r="AW33" s="183" t="n">
        <v>0</v>
      </c>
      <c r="AX33" s="183" t="n">
        <v>0</v>
      </c>
      <c r="AY33" s="187" t="n">
        <v>0</v>
      </c>
      <c r="AZ33" s="189" t="n">
        <v>0</v>
      </c>
      <c r="BA33" s="191" t="n">
        <v>2</v>
      </c>
      <c r="BB33" s="194" t="n">
        <v>1</v>
      </c>
      <c r="BC33" s="198" t="n">
        <v>3</v>
      </c>
      <c r="BD33" s="202" t="n">
        <v>0</v>
      </c>
      <c r="BE33" s="204" t="n">
        <v>1</v>
      </c>
      <c r="BF33" s="204" t="n">
        <v>1</v>
      </c>
      <c r="BG33" s="207" t="n">
        <v>3</v>
      </c>
      <c r="BH33" s="211" t="n">
        <v>0</v>
      </c>
      <c r="BI33" s="210" t="n">
        <v>1</v>
      </c>
      <c r="BJ33" s="210" t="n">
        <v>1</v>
      </c>
      <c r="BK33" s="210" t="n">
        <v>1</v>
      </c>
      <c r="BL33" s="210" t="n">
        <v>1</v>
      </c>
      <c r="BM33" s="210" t="n">
        <v>1</v>
      </c>
      <c r="BN33" s="214" t="n">
        <v>1</v>
      </c>
      <c r="BO33" s="214" t="n">
        <v>1</v>
      </c>
      <c r="BP33" s="214" t="n">
        <v>1</v>
      </c>
      <c r="BQ33" s="215" t="n">
        <v>0</v>
      </c>
    </row>
    <row r="34">
      <c r="A34" s="22">
        <f>"https://open.spotify.com/playlist/" &amp; C34</f>
        <v/>
      </c>
      <c r="B34" s="1" t="inlineStr">
        <is>
          <t>Techno Music for Life | Hard Techno, Melodic Techno, Rave Anthems, Underground Beats 2026 🖤☀️</t>
        </is>
      </c>
      <c r="C34" s="1" t="inlineStr">
        <is>
          <t>1XpOq6ygigtAgI2BHr6TP5</t>
        </is>
      </c>
      <c r="D34" s="3" t="n">
        <v>151</v>
      </c>
      <c r="E34" s="20" t="n">
        <v>1</v>
      </c>
      <c r="F34" s="26" t="n">
        <v>1</v>
      </c>
      <c r="G34" s="26" t="n">
        <v>3</v>
      </c>
      <c r="H34" s="28" t="n">
        <v>1</v>
      </c>
      <c r="I34" s="30" t="n">
        <v>5</v>
      </c>
      <c r="J34" s="72" t="n">
        <v>4</v>
      </c>
      <c r="K34" s="77" t="n">
        <v>3</v>
      </c>
      <c r="L34" s="78" t="n">
        <v>5</v>
      </c>
      <c r="M34" s="81" t="n">
        <v>4</v>
      </c>
      <c r="N34" s="86" t="n">
        <v>0</v>
      </c>
      <c r="O34" s="88" t="n">
        <v>6</v>
      </c>
      <c r="P34" s="92" t="n">
        <v>2</v>
      </c>
      <c r="Q34" s="95" t="n">
        <v>2</v>
      </c>
      <c r="R34" s="99" t="n">
        <v>3</v>
      </c>
      <c r="S34" s="101" t="n">
        <v>3</v>
      </c>
      <c r="T34" s="104" t="n">
        <v>3</v>
      </c>
      <c r="U34" s="107" t="n">
        <v>1</v>
      </c>
      <c r="V34" s="110" t="n">
        <v>2</v>
      </c>
      <c r="W34" s="113" t="n">
        <v>3</v>
      </c>
      <c r="X34" s="115" t="n">
        <v>7</v>
      </c>
      <c r="Y34" s="119" t="n">
        <v>3</v>
      </c>
      <c r="Z34" s="121" t="n">
        <v>3</v>
      </c>
      <c r="AA34" s="125" t="n">
        <v>4</v>
      </c>
      <c r="AB34" s="128" t="n">
        <v>4</v>
      </c>
      <c r="AC34" s="132" t="n">
        <v>2</v>
      </c>
      <c r="AD34" s="135" t="n">
        <v>2</v>
      </c>
      <c r="AE34" s="139" t="n">
        <v>3</v>
      </c>
      <c r="AF34" s="141" t="n">
        <v>2</v>
      </c>
      <c r="AG34" s="145" t="n">
        <v>0</v>
      </c>
      <c r="AH34" s="147" t="n">
        <v>3</v>
      </c>
      <c r="AI34" s="150" t="n">
        <v>1</v>
      </c>
      <c r="AJ34" s="154" t="n">
        <v>0</v>
      </c>
      <c r="AK34" s="152" t="n">
        <v>1</v>
      </c>
      <c r="AL34" s="157" t="n">
        <v>1</v>
      </c>
      <c r="AM34" s="159" t="n">
        <v>3</v>
      </c>
      <c r="AN34" s="162" t="n">
        <v>1</v>
      </c>
      <c r="AO34" s="162" t="n">
        <v>1</v>
      </c>
      <c r="AP34" s="166" t="n">
        <v>0</v>
      </c>
      <c r="AQ34" s="169" t="n">
        <v>0</v>
      </c>
      <c r="AR34" s="171" t="n">
        <v>1</v>
      </c>
      <c r="AS34" s="174" t="n">
        <v>2</v>
      </c>
      <c r="AT34" s="177" t="n">
        <v>2</v>
      </c>
      <c r="AU34" s="176" t="n">
        <v>4</v>
      </c>
      <c r="AV34" s="181" t="n">
        <v>0</v>
      </c>
      <c r="AW34" s="183" t="n">
        <v>0</v>
      </c>
      <c r="AX34" s="183" t="n">
        <v>0</v>
      </c>
      <c r="AY34" s="187" t="n">
        <v>0</v>
      </c>
      <c r="AZ34" s="190" t="n">
        <v>1</v>
      </c>
      <c r="BA34" s="191" t="n">
        <v>2</v>
      </c>
      <c r="BB34" s="194" t="n">
        <v>1</v>
      </c>
      <c r="BC34" s="199" t="n">
        <v>0</v>
      </c>
      <c r="BD34" s="201" t="n">
        <v>2</v>
      </c>
      <c r="BE34" s="204" t="n">
        <v>1</v>
      </c>
      <c r="BF34" s="204" t="n">
        <v>2</v>
      </c>
      <c r="BG34" s="207" t="n">
        <v>2</v>
      </c>
      <c r="BH34" s="211" t="n">
        <v>0</v>
      </c>
      <c r="BI34" s="211" t="n">
        <v>0</v>
      </c>
      <c r="BJ34" s="210" t="n">
        <v>1</v>
      </c>
      <c r="BK34" s="211" t="n">
        <v>0</v>
      </c>
      <c r="BL34" s="211" t="n">
        <v>0</v>
      </c>
      <c r="BM34" s="211" t="n">
        <v>0</v>
      </c>
      <c r="BN34" s="214" t="n">
        <v>1</v>
      </c>
      <c r="BO34" s="214" t="n">
        <v>1</v>
      </c>
      <c r="BP34" s="215" t="n">
        <v>-1</v>
      </c>
      <c r="BQ34" s="215" t="n">
        <v>0</v>
      </c>
    </row>
    <row r="35">
      <c r="A35" s="22">
        <f>"https://open.spotify.com/playlist/" &amp; C35</f>
        <v/>
      </c>
      <c r="B35" s="1" t="inlineStr">
        <is>
          <t>Techno Mix 2026 | Rave Techno Remixes, Hard Techno, Peak-Time Energy for Party, Gym &amp; Driving ⚡🔥</t>
        </is>
      </c>
      <c r="C35" s="1" t="inlineStr">
        <is>
          <t>3WLWOsTaOfpaAqZybZh4Z3</t>
        </is>
      </c>
      <c r="D35" s="3" t="n">
        <v>69</v>
      </c>
      <c r="E35" s="20" t="n">
        <v>1</v>
      </c>
      <c r="F35" s="25" t="n">
        <v>0</v>
      </c>
      <c r="G35" s="25" t="n">
        <v>0</v>
      </c>
      <c r="H35" s="29" t="n">
        <v>0</v>
      </c>
      <c r="I35" s="31" t="n">
        <v>2</v>
      </c>
      <c r="J35" s="74" t="n">
        <v>0</v>
      </c>
      <c r="K35" s="77" t="n">
        <v>1</v>
      </c>
      <c r="L35" s="80" t="n">
        <v>0</v>
      </c>
      <c r="M35" s="83" t="n">
        <v>0</v>
      </c>
      <c r="N35" s="85" t="n">
        <v>1</v>
      </c>
      <c r="O35" s="89" t="n">
        <v>1</v>
      </c>
      <c r="P35" s="93" t="n">
        <v>0</v>
      </c>
      <c r="Q35" s="95" t="n">
        <v>2</v>
      </c>
      <c r="R35" s="99" t="n">
        <v>2</v>
      </c>
      <c r="S35" s="101" t="n">
        <v>3</v>
      </c>
      <c r="T35" s="104" t="n">
        <v>2</v>
      </c>
      <c r="U35" s="108" t="n">
        <v>0</v>
      </c>
      <c r="V35" s="110" t="n">
        <v>2</v>
      </c>
      <c r="W35" s="113" t="n">
        <v>1</v>
      </c>
      <c r="X35" s="116" t="n">
        <v>1</v>
      </c>
      <c r="Y35" s="120" t="n">
        <v>0</v>
      </c>
      <c r="Z35" s="123" t="n">
        <v>0</v>
      </c>
      <c r="AA35" s="126" t="n">
        <v>1</v>
      </c>
      <c r="AB35" s="129" t="n">
        <v>3</v>
      </c>
      <c r="AC35" s="133" t="n">
        <v>0</v>
      </c>
      <c r="AD35" s="136" t="n">
        <v>0</v>
      </c>
      <c r="AE35" s="139" t="n">
        <v>1</v>
      </c>
      <c r="AF35" s="142" t="n">
        <v>0</v>
      </c>
      <c r="AG35" s="145" t="n">
        <v>0</v>
      </c>
      <c r="AH35" s="147" t="n">
        <v>1</v>
      </c>
      <c r="AI35" s="151" t="n">
        <v>0</v>
      </c>
      <c r="AJ35" s="154" t="n">
        <v>0</v>
      </c>
      <c r="AK35" s="152" t="n">
        <v>1</v>
      </c>
      <c r="AL35" s="157" t="n">
        <v>1</v>
      </c>
      <c r="AM35" s="160" t="n">
        <v>0</v>
      </c>
      <c r="AN35" s="163" t="n">
        <v>0</v>
      </c>
      <c r="AO35" s="163" t="n">
        <v>0</v>
      </c>
      <c r="AP35" s="165" t="n">
        <v>1</v>
      </c>
      <c r="AQ35" s="168" t="n">
        <v>1</v>
      </c>
      <c r="AR35" s="172" t="n">
        <v>0</v>
      </c>
      <c r="AS35" s="175" t="n">
        <v>0</v>
      </c>
      <c r="AT35" s="178" t="n">
        <v>0</v>
      </c>
      <c r="AU35" s="177" t="n">
        <v>1</v>
      </c>
      <c r="AV35" s="181" t="n">
        <v>0</v>
      </c>
      <c r="AW35" s="183" t="n">
        <v>0</v>
      </c>
      <c r="AX35" s="183" t="n">
        <v>0</v>
      </c>
      <c r="AY35" s="186" t="n">
        <v>1</v>
      </c>
      <c r="AZ35" s="190" t="n">
        <v>1</v>
      </c>
      <c r="BA35" s="193" t="n">
        <v>4</v>
      </c>
      <c r="BB35" s="196" t="n">
        <v>0</v>
      </c>
      <c r="BC35" s="199" t="n">
        <v>0</v>
      </c>
      <c r="BD35" s="202" t="n">
        <v>0</v>
      </c>
      <c r="BE35" s="205" t="n">
        <v>0</v>
      </c>
      <c r="BF35" s="205" t="n">
        <v>0</v>
      </c>
      <c r="BG35" s="208" t="n">
        <v>0</v>
      </c>
      <c r="BH35" s="211" t="n">
        <v>0</v>
      </c>
      <c r="BI35" s="211" t="n">
        <v>0</v>
      </c>
      <c r="BJ35" s="211" t="n">
        <v>0</v>
      </c>
      <c r="BK35" s="211" t="n">
        <v>0</v>
      </c>
      <c r="BL35" s="211" t="n">
        <v>0</v>
      </c>
      <c r="BM35" s="210" t="n">
        <v>2</v>
      </c>
      <c r="BN35" s="215" t="n">
        <v>0</v>
      </c>
      <c r="BO35" s="215" t="n">
        <v>0</v>
      </c>
      <c r="BP35" s="214" t="n">
        <v>1</v>
      </c>
      <c r="BQ35" s="215" t="n">
        <v>0</v>
      </c>
    </row>
    <row r="36">
      <c r="A36" s="22">
        <f>"https://open.spotify.com/playlist/" &amp; C36</f>
        <v/>
      </c>
      <c r="B36" s="1" t="inlineStr">
        <is>
          <t>UKG &amp; GARAGE 🌴⚡ | Bassline Anthems, Club Bangers, UK Hits🔊</t>
        </is>
      </c>
      <c r="C36" s="1" t="inlineStr">
        <is>
          <t>0miYy2RTqz1T9JKi1hnVMG</t>
        </is>
      </c>
      <c r="D36" s="3" t="n">
        <v>59</v>
      </c>
      <c r="E36" s="20" t="n">
        <v>1</v>
      </c>
      <c r="F36" s="25" t="n">
        <v>0</v>
      </c>
      <c r="G36" s="26" t="n">
        <v>1</v>
      </c>
      <c r="H36" s="28" t="n">
        <v>3</v>
      </c>
      <c r="I36" s="32" t="n">
        <v>0</v>
      </c>
      <c r="J36" s="74" t="n">
        <v>0</v>
      </c>
      <c r="K36" s="75" t="n">
        <v>4</v>
      </c>
      <c r="L36" s="79" t="n">
        <v>2</v>
      </c>
      <c r="M36" s="82" t="n">
        <v>2</v>
      </c>
      <c r="N36" s="85" t="n">
        <v>1</v>
      </c>
      <c r="O36" s="89" t="n">
        <v>1</v>
      </c>
      <c r="P36" s="92" t="n">
        <v>1</v>
      </c>
      <c r="Q36" s="95" t="n">
        <v>1</v>
      </c>
      <c r="R36" s="99" t="n">
        <v>2</v>
      </c>
      <c r="S36" s="101" t="n">
        <v>1</v>
      </c>
      <c r="T36" s="105" t="n">
        <v>0</v>
      </c>
      <c r="U36" s="108" t="n">
        <v>-1</v>
      </c>
      <c r="V36" s="110" t="n">
        <v>1</v>
      </c>
      <c r="W36" s="114" t="n">
        <v>0</v>
      </c>
      <c r="X36" s="116" t="n">
        <v>2</v>
      </c>
      <c r="Y36" s="118" t="n">
        <v>4</v>
      </c>
      <c r="Z36" s="121" t="n">
        <v>1</v>
      </c>
      <c r="AA36" s="126" t="n">
        <v>1</v>
      </c>
      <c r="AB36" s="129" t="n">
        <v>1</v>
      </c>
      <c r="AC36" s="132" t="n">
        <v>2</v>
      </c>
      <c r="AD36" s="135" t="n">
        <v>2</v>
      </c>
      <c r="AE36" s="139" t="n">
        <v>1</v>
      </c>
      <c r="AF36" s="141" t="n">
        <v>1</v>
      </c>
      <c r="AG36" s="145" t="n">
        <v>0</v>
      </c>
      <c r="AH36" s="148" t="n">
        <v>0</v>
      </c>
      <c r="AI36" s="151" t="n">
        <v>0</v>
      </c>
      <c r="AJ36" s="154" t="n">
        <v>0</v>
      </c>
      <c r="AK36" s="154" t="n">
        <v>0</v>
      </c>
      <c r="AL36" s="156" t="n">
        <v>0</v>
      </c>
      <c r="AM36" s="160" t="n">
        <v>0</v>
      </c>
      <c r="AN36" s="163" t="n">
        <v>0</v>
      </c>
      <c r="AO36" s="163" t="n">
        <v>0</v>
      </c>
      <c r="AP36" s="166" t="n">
        <v>0</v>
      </c>
      <c r="AQ36" s="169" t="n">
        <v>0</v>
      </c>
      <c r="AR36" s="172" t="n">
        <v>0</v>
      </c>
      <c r="AS36" s="175" t="n">
        <v>0</v>
      </c>
      <c r="AT36" s="178" t="n">
        <v>0</v>
      </c>
      <c r="AU36" s="178" t="n">
        <v>0</v>
      </c>
      <c r="AV36" s="181" t="n">
        <v>0</v>
      </c>
      <c r="AW36" s="183" t="n">
        <v>0</v>
      </c>
      <c r="AX36" s="183" t="n">
        <v>0</v>
      </c>
      <c r="AY36" s="187" t="n">
        <v>0</v>
      </c>
      <c r="AZ36" s="189" t="n">
        <v>0</v>
      </c>
      <c r="BA36" s="192" t="n">
        <v>0</v>
      </c>
      <c r="BB36" s="196" t="n">
        <v>0</v>
      </c>
      <c r="BC36" s="199" t="n">
        <v>0</v>
      </c>
      <c r="BD36" s="202" t="n">
        <v>0</v>
      </c>
      <c r="BE36" s="205" t="n">
        <v>0</v>
      </c>
      <c r="BF36" s="205" t="n">
        <v>0</v>
      </c>
      <c r="BG36" s="208" t="n">
        <v>0</v>
      </c>
      <c r="BH36" s="211" t="n">
        <v>0</v>
      </c>
      <c r="BI36" s="211" t="n">
        <v>0</v>
      </c>
      <c r="BJ36" s="211" t="n">
        <v>0</v>
      </c>
      <c r="BK36" s="211" t="n">
        <v>0</v>
      </c>
      <c r="BL36" s="211" t="n">
        <v>0</v>
      </c>
      <c r="BM36" s="211" t="n">
        <v>0</v>
      </c>
      <c r="BN36" s="215" t="n">
        <v>0</v>
      </c>
      <c r="BO36" s="215" t="n">
        <v>-1</v>
      </c>
      <c r="BP36" s="215" t="n">
        <v>0</v>
      </c>
      <c r="BQ36" s="215" t="n">
        <v>0</v>
      </c>
    </row>
    <row r="37">
      <c r="A37" s="22">
        <f>"https://open.spotify.com/playlist/" &amp; C37</f>
        <v/>
      </c>
      <c r="B37" s="1" t="inlineStr">
        <is>
          <t>Aerobic Workout Music 2026 | Cardio Songs for Aerobics &amp; Fitness Training 💪</t>
        </is>
      </c>
      <c r="C37" s="1" t="inlineStr">
        <is>
          <t>10XnJPy2mH7Av9p8FsEEM6</t>
        </is>
      </c>
      <c r="D37" s="3" t="n">
        <v>120</v>
      </c>
      <c r="E37" s="20" t="n">
        <v>1</v>
      </c>
      <c r="F37" s="25" t="n">
        <v>0</v>
      </c>
      <c r="G37" s="26" t="n">
        <v>2</v>
      </c>
      <c r="H37" s="28" t="n">
        <v>3</v>
      </c>
      <c r="I37" s="31" t="n">
        <v>1</v>
      </c>
      <c r="J37" s="73" t="n">
        <v>2</v>
      </c>
      <c r="K37" s="76" t="n">
        <v>0</v>
      </c>
      <c r="L37" s="79" t="n">
        <v>2</v>
      </c>
      <c r="M37" s="83" t="n">
        <v>0</v>
      </c>
      <c r="N37" s="85" t="n">
        <v>1</v>
      </c>
      <c r="O37" s="89" t="n">
        <v>2</v>
      </c>
      <c r="P37" s="92" t="n">
        <v>1</v>
      </c>
      <c r="Q37" s="95" t="n">
        <v>1</v>
      </c>
      <c r="R37" s="99" t="n">
        <v>2</v>
      </c>
      <c r="S37" s="101" t="n">
        <v>1</v>
      </c>
      <c r="T37" s="104" t="n">
        <v>1</v>
      </c>
      <c r="U37" s="106" t="n">
        <v>5</v>
      </c>
      <c r="V37" s="110" t="n">
        <v>1</v>
      </c>
      <c r="W37" s="112" t="n">
        <v>4</v>
      </c>
      <c r="X37" s="116" t="n">
        <v>1</v>
      </c>
      <c r="Y37" s="119" t="n">
        <v>1</v>
      </c>
      <c r="Z37" s="122" t="n">
        <v>4</v>
      </c>
      <c r="AA37" s="127" t="n">
        <v>0</v>
      </c>
      <c r="AB37" s="129" t="n">
        <v>1</v>
      </c>
      <c r="AC37" s="132" t="n">
        <v>3</v>
      </c>
      <c r="AD37" s="134" t="n">
        <v>4</v>
      </c>
      <c r="AE37" s="139" t="n">
        <v>1</v>
      </c>
      <c r="AF37" s="141" t="n">
        <v>2</v>
      </c>
      <c r="AG37" s="144" t="n">
        <v>1</v>
      </c>
      <c r="AH37" s="148" t="n">
        <v>-1</v>
      </c>
      <c r="AI37" s="150" t="n">
        <v>1</v>
      </c>
      <c r="AJ37" s="152" t="n">
        <v>1</v>
      </c>
      <c r="AK37" s="154" t="n">
        <v>0</v>
      </c>
      <c r="AL37" s="157" t="n">
        <v>2</v>
      </c>
      <c r="AM37" s="159" t="n">
        <v>1</v>
      </c>
      <c r="AN37" s="162" t="n">
        <v>1</v>
      </c>
      <c r="AO37" s="162" t="n">
        <v>1</v>
      </c>
      <c r="AP37" s="165" t="n">
        <v>1</v>
      </c>
      <c r="AQ37" s="168" t="n">
        <v>2</v>
      </c>
      <c r="AR37" s="171" t="n">
        <v>1</v>
      </c>
      <c r="AS37" s="173" t="n">
        <v>5</v>
      </c>
      <c r="AT37" s="177" t="n">
        <v>1</v>
      </c>
      <c r="AU37" s="178" t="n">
        <v>0</v>
      </c>
      <c r="AV37" s="180" t="n">
        <v>3</v>
      </c>
      <c r="AW37" s="184" t="n">
        <v>3</v>
      </c>
      <c r="AX37" s="182" t="n">
        <v>4</v>
      </c>
      <c r="AY37" s="186" t="n">
        <v>2</v>
      </c>
      <c r="AZ37" s="190" t="n">
        <v>1</v>
      </c>
      <c r="BA37" s="191" t="n">
        <v>2</v>
      </c>
      <c r="BB37" s="194" t="n">
        <v>2</v>
      </c>
      <c r="BC37" s="198" t="n">
        <v>1</v>
      </c>
      <c r="BD37" s="202" t="n">
        <v>0</v>
      </c>
      <c r="BE37" s="204" t="n">
        <v>3</v>
      </c>
      <c r="BF37" s="204" t="n">
        <v>1</v>
      </c>
      <c r="BG37" s="207" t="n">
        <v>3</v>
      </c>
      <c r="BH37" s="211" t="n">
        <v>0</v>
      </c>
      <c r="BI37" s="210" t="n">
        <v>2</v>
      </c>
      <c r="BJ37" s="210" t="n">
        <v>3</v>
      </c>
      <c r="BK37" s="210" t="n">
        <v>1</v>
      </c>
      <c r="BL37" s="211" t="n">
        <v>0</v>
      </c>
      <c r="BM37" s="211" t="n">
        <v>0</v>
      </c>
      <c r="BN37" s="215" t="n">
        <v>0</v>
      </c>
      <c r="BO37" s="215" t="n">
        <v>0</v>
      </c>
      <c r="BP37" s="215" t="n">
        <v>0</v>
      </c>
      <c r="BQ37" s="214" t="n">
        <v>2</v>
      </c>
    </row>
    <row r="38">
      <c r="A38" s="22">
        <f>"https://open.spotify.com/playlist/" &amp; C38</f>
        <v/>
      </c>
      <c r="B38" s="1" t="inlineStr">
        <is>
          <t>Relaxing Saxophone Vibes 🎷🍷 | Lounge Jazz, Chill Sax, Smooth Instrumentals, Coffee Shop Music ✨</t>
        </is>
      </c>
      <c r="C38" s="1" t="inlineStr">
        <is>
          <t>65jifFLC4I1TkrTdBAxyox</t>
        </is>
      </c>
      <c r="D38" s="3" t="n">
        <v>103</v>
      </c>
      <c r="E38" s="20" t="n">
        <v>1</v>
      </c>
      <c r="F38" s="24" t="n">
        <v>4</v>
      </c>
      <c r="G38" s="25" t="n">
        <v>0</v>
      </c>
      <c r="H38" s="28" t="n">
        <v>2</v>
      </c>
      <c r="I38" s="31" t="n">
        <v>1</v>
      </c>
      <c r="J38" s="73" t="n">
        <v>3</v>
      </c>
      <c r="K38" s="77" t="n">
        <v>3</v>
      </c>
      <c r="L38" s="78" t="n">
        <v>4</v>
      </c>
      <c r="M38" s="82" t="n">
        <v>1</v>
      </c>
      <c r="N38" s="85" t="n">
        <v>1</v>
      </c>
      <c r="O38" s="89" t="n">
        <v>1</v>
      </c>
      <c r="P38" s="92" t="n">
        <v>2</v>
      </c>
      <c r="Q38" s="95" t="n">
        <v>2</v>
      </c>
      <c r="R38" s="99" t="n">
        <v>1</v>
      </c>
      <c r="S38" s="101" t="n">
        <v>3</v>
      </c>
      <c r="T38" s="104" t="n">
        <v>3</v>
      </c>
      <c r="U38" s="107" t="n">
        <v>1</v>
      </c>
      <c r="V38" s="109" t="n">
        <v>4</v>
      </c>
      <c r="W38" s="112" t="n">
        <v>4</v>
      </c>
      <c r="X38" s="117" t="n">
        <v>0</v>
      </c>
      <c r="Y38" s="118" t="n">
        <v>4</v>
      </c>
      <c r="Z38" s="122" t="n">
        <v>6</v>
      </c>
      <c r="AA38" s="126" t="n">
        <v>3</v>
      </c>
      <c r="AB38" s="129" t="n">
        <v>2</v>
      </c>
      <c r="AC38" s="132" t="n">
        <v>2</v>
      </c>
      <c r="AD38" s="136" t="n">
        <v>0</v>
      </c>
      <c r="AE38" s="139" t="n">
        <v>2</v>
      </c>
      <c r="AF38" s="142" t="n">
        <v>0</v>
      </c>
      <c r="AG38" s="144" t="n">
        <v>2</v>
      </c>
      <c r="AH38" s="148" t="n">
        <v>0</v>
      </c>
      <c r="AI38" s="150" t="n">
        <v>2</v>
      </c>
      <c r="AJ38" s="152" t="n">
        <v>1</v>
      </c>
      <c r="AK38" s="154" t="n">
        <v>0</v>
      </c>
      <c r="AL38" s="157" t="n">
        <v>2</v>
      </c>
      <c r="AM38" s="159" t="n">
        <v>2</v>
      </c>
      <c r="AN38" s="162" t="n">
        <v>1</v>
      </c>
      <c r="AO38" s="162" t="n">
        <v>0</v>
      </c>
      <c r="AP38" s="166" t="n">
        <v>0</v>
      </c>
      <c r="AQ38" s="169" t="n">
        <v>0</v>
      </c>
      <c r="AR38" s="172" t="n">
        <v>0</v>
      </c>
      <c r="AS38" s="174" t="n">
        <v>2</v>
      </c>
      <c r="AT38" s="177" t="n">
        <v>1</v>
      </c>
      <c r="AU38" s="177" t="n">
        <v>1</v>
      </c>
      <c r="AV38" s="180" t="n">
        <v>2</v>
      </c>
      <c r="AW38" s="183" t="n">
        <v>0</v>
      </c>
      <c r="AX38" s="184" t="n">
        <v>3</v>
      </c>
      <c r="AY38" s="187" t="n">
        <v>-1</v>
      </c>
      <c r="AZ38" s="189" t="n">
        <v>0</v>
      </c>
      <c r="BA38" s="191" t="n">
        <v>1</v>
      </c>
      <c r="BB38" s="196" t="n">
        <v>0</v>
      </c>
      <c r="BC38" s="199" t="n">
        <v>0</v>
      </c>
      <c r="BD38" s="201" t="n">
        <v>1</v>
      </c>
      <c r="BE38" s="205" t="n">
        <v>0</v>
      </c>
      <c r="BF38" s="204" t="n">
        <v>1</v>
      </c>
      <c r="BG38" s="208" t="n">
        <v>0</v>
      </c>
      <c r="BH38" s="210" t="n">
        <v>1</v>
      </c>
      <c r="BI38" s="211" t="n">
        <v>0</v>
      </c>
      <c r="BJ38" s="210" t="n">
        <v>1</v>
      </c>
      <c r="BK38" s="211" t="n">
        <v>0</v>
      </c>
      <c r="BL38" s="211" t="n">
        <v>0</v>
      </c>
      <c r="BM38" s="211" t="n">
        <v>0</v>
      </c>
      <c r="BN38" s="215" t="n">
        <v>0</v>
      </c>
      <c r="BO38" s="215" t="n">
        <v>0</v>
      </c>
      <c r="BP38" s="215" t="n">
        <v>0</v>
      </c>
      <c r="BQ38" s="215" t="n">
        <v>-1</v>
      </c>
    </row>
    <row r="39">
      <c r="A39" s="22">
        <f>"https://open.spotify.com/playlist/" &amp; C39</f>
        <v/>
      </c>
      <c r="B39" s="1" t="inlineStr">
        <is>
          <t>WUCHTIGER Laufmusik 180–190 BPM 🔥 Schnelle Songs fürs Running | High Tempo Jogging Playlist</t>
        </is>
      </c>
      <c r="C39" s="1" t="inlineStr">
        <is>
          <t>6B168nmKMp12ceaTPFPJ7U</t>
        </is>
      </c>
      <c r="D39" s="3" t="n">
        <v>271</v>
      </c>
      <c r="E39" s="20" t="n">
        <v>1</v>
      </c>
      <c r="F39" s="26" t="n">
        <v>1</v>
      </c>
      <c r="G39" s="26" t="n">
        <v>3</v>
      </c>
      <c r="H39" s="27" t="n">
        <v>5</v>
      </c>
      <c r="I39" s="30" t="n">
        <v>5</v>
      </c>
      <c r="J39" s="72" t="n">
        <v>5</v>
      </c>
      <c r="K39" s="77" t="n">
        <v>2</v>
      </c>
      <c r="L39" s="78" t="n">
        <v>5</v>
      </c>
      <c r="M39" s="82" t="n">
        <v>2</v>
      </c>
      <c r="N39" s="84" t="n">
        <v>8</v>
      </c>
      <c r="O39" s="88" t="n">
        <v>7</v>
      </c>
      <c r="P39" s="93" t="n">
        <v>0</v>
      </c>
      <c r="Q39" s="96" t="n">
        <v>0</v>
      </c>
      <c r="R39" s="97" t="n">
        <v>4</v>
      </c>
      <c r="S39" s="101" t="n">
        <v>3</v>
      </c>
      <c r="T39" s="103" t="n">
        <v>7</v>
      </c>
      <c r="U39" s="107" t="n">
        <v>1</v>
      </c>
      <c r="V39" s="110" t="n">
        <v>2</v>
      </c>
      <c r="W39" s="113" t="n">
        <v>2</v>
      </c>
      <c r="X39" s="115" t="n">
        <v>5</v>
      </c>
      <c r="Y39" s="119" t="n">
        <v>3</v>
      </c>
      <c r="Z39" s="121" t="n">
        <v>2</v>
      </c>
      <c r="AA39" s="126" t="n">
        <v>2</v>
      </c>
      <c r="AB39" s="129" t="n">
        <v>2</v>
      </c>
      <c r="AC39" s="131" t="n">
        <v>4</v>
      </c>
      <c r="AD39" s="135" t="n">
        <v>2</v>
      </c>
      <c r="AE39" s="139" t="n">
        <v>3</v>
      </c>
      <c r="AF39" s="140" t="n">
        <v>4</v>
      </c>
      <c r="AG39" s="143" t="n">
        <v>5</v>
      </c>
      <c r="AH39" s="147" t="n">
        <v>3</v>
      </c>
      <c r="AI39" s="149" t="n">
        <v>4</v>
      </c>
      <c r="AJ39" s="153" t="n">
        <v>7</v>
      </c>
      <c r="AK39" s="153" t="n">
        <v>7</v>
      </c>
      <c r="AL39" s="155" t="n">
        <v>8</v>
      </c>
      <c r="AM39" s="158" t="n">
        <v>6</v>
      </c>
      <c r="AN39" s="161" t="n">
        <v>4</v>
      </c>
      <c r="AO39" s="161" t="n">
        <v>4</v>
      </c>
      <c r="AP39" s="164" t="n">
        <v>8</v>
      </c>
      <c r="AQ39" s="167" t="n">
        <v>8</v>
      </c>
      <c r="AR39" s="170" t="n">
        <v>5</v>
      </c>
      <c r="AS39" s="174" t="n">
        <v>3</v>
      </c>
      <c r="AT39" s="177" t="n">
        <v>3</v>
      </c>
      <c r="AU39" s="176" t="n">
        <v>6</v>
      </c>
      <c r="AV39" s="179" t="n">
        <v>5</v>
      </c>
      <c r="AW39" s="184" t="n">
        <v>1</v>
      </c>
      <c r="AX39" s="182" t="n">
        <v>5</v>
      </c>
      <c r="AY39" s="186" t="n">
        <v>1</v>
      </c>
      <c r="AZ39" s="190" t="n">
        <v>3</v>
      </c>
      <c r="BA39" s="193" t="n">
        <v>6</v>
      </c>
      <c r="BB39" s="195" t="n">
        <v>8</v>
      </c>
      <c r="BC39" s="198" t="n">
        <v>2</v>
      </c>
      <c r="BD39" s="201" t="n">
        <v>2</v>
      </c>
      <c r="BE39" s="203" t="n">
        <v>5</v>
      </c>
      <c r="BF39" s="203" t="n">
        <v>5</v>
      </c>
      <c r="BG39" s="207" t="n">
        <v>1</v>
      </c>
      <c r="BH39" s="209" t="n">
        <v>6</v>
      </c>
      <c r="BI39" s="209" t="n">
        <v>12</v>
      </c>
      <c r="BJ39" s="210" t="n">
        <v>2</v>
      </c>
      <c r="BK39" s="210" t="n">
        <v>3</v>
      </c>
      <c r="BL39" s="210" t="n">
        <v>3</v>
      </c>
      <c r="BM39" s="210" t="n">
        <v>3</v>
      </c>
      <c r="BN39" s="216" t="n">
        <v>6</v>
      </c>
      <c r="BO39" s="214" t="n">
        <v>2</v>
      </c>
      <c r="BP39" s="214" t="n">
        <v>1</v>
      </c>
      <c r="BQ39" s="214" t="n">
        <v>3</v>
      </c>
    </row>
    <row r="40">
      <c r="A40" s="22">
        <f>"https://open.spotify.com/playlist/" &amp; C40</f>
        <v/>
      </c>
      <c r="B40" s="1" t="inlineStr">
        <is>
          <t>EXKLUSIVE Luxus Restaurant Musik 🥂 | Dinner Playlist | Hintergrundmusik | Elegante Stimmung</t>
        </is>
      </c>
      <c r="C40" s="1" t="inlineStr">
        <is>
          <t>6gCCnHlKyQ8bE9Wwl2EdAX</t>
        </is>
      </c>
      <c r="D40" s="3" t="n">
        <v>25</v>
      </c>
      <c r="E40" s="20" t="n">
        <v>1</v>
      </c>
      <c r="F40" s="26" t="n">
        <v>1</v>
      </c>
      <c r="G40" s="25" t="n">
        <v>-1</v>
      </c>
      <c r="H40" s="29" t="n">
        <v>0</v>
      </c>
      <c r="I40" s="32" t="n">
        <v>0</v>
      </c>
      <c r="J40" s="74" t="n">
        <v>0</v>
      </c>
      <c r="K40" s="76" t="n">
        <v>0</v>
      </c>
      <c r="L40" s="80" t="n">
        <v>0</v>
      </c>
      <c r="M40" s="83" t="n">
        <v>0</v>
      </c>
      <c r="N40" s="86" t="n">
        <v>0</v>
      </c>
      <c r="O40" s="90" t="n">
        <v>0</v>
      </c>
      <c r="P40" s="92" t="n">
        <v>1</v>
      </c>
      <c r="Q40" s="96" t="n">
        <v>0</v>
      </c>
      <c r="R40" s="99" t="n">
        <v>2</v>
      </c>
      <c r="S40" s="102" t="n">
        <v>0</v>
      </c>
      <c r="T40" s="104" t="n">
        <v>1</v>
      </c>
      <c r="U40" s="108" t="n">
        <v>0</v>
      </c>
      <c r="V40" s="110" t="n">
        <v>1</v>
      </c>
      <c r="W40" s="114" t="n">
        <v>0</v>
      </c>
      <c r="X40" s="117" t="n">
        <v>0</v>
      </c>
      <c r="Y40" s="119" t="n">
        <v>1</v>
      </c>
      <c r="Z40" s="123" t="n">
        <v>0</v>
      </c>
      <c r="AA40" s="127" t="n">
        <v>0</v>
      </c>
      <c r="AB40" s="130" t="n">
        <v>0</v>
      </c>
      <c r="AC40" s="133" t="n">
        <v>0</v>
      </c>
      <c r="AD40" s="136" t="n">
        <v>0</v>
      </c>
      <c r="AE40" s="139" t="n">
        <v>1</v>
      </c>
      <c r="AF40" s="142" t="n">
        <v>-1</v>
      </c>
      <c r="AG40" s="145" t="n">
        <v>-1</v>
      </c>
      <c r="AH40" s="148" t="n">
        <v>0</v>
      </c>
      <c r="AI40" s="151" t="n">
        <v>0</v>
      </c>
      <c r="AJ40" s="152" t="n">
        <v>1</v>
      </c>
      <c r="AK40" s="154" t="n">
        <v>0</v>
      </c>
      <c r="AL40" s="156" t="n">
        <v>0</v>
      </c>
      <c r="AM40" s="159" t="n">
        <v>2</v>
      </c>
      <c r="AN40" s="163" t="n">
        <v>0</v>
      </c>
      <c r="AO40" s="163" t="n">
        <v>0</v>
      </c>
      <c r="AP40" s="166" t="n">
        <v>0</v>
      </c>
      <c r="AQ40" s="169" t="n">
        <v>0</v>
      </c>
      <c r="AR40" s="172" t="n">
        <v>0</v>
      </c>
      <c r="AS40" s="175" t="n">
        <v>0</v>
      </c>
      <c r="AT40" s="178" t="n">
        <v>0</v>
      </c>
      <c r="AU40" s="178" t="n">
        <v>0</v>
      </c>
      <c r="AV40" s="181" t="n">
        <v>0</v>
      </c>
      <c r="AW40" s="184" t="n">
        <v>1</v>
      </c>
      <c r="AX40" s="183" t="n">
        <v>0</v>
      </c>
      <c r="AY40" s="187" t="n">
        <v>0</v>
      </c>
      <c r="AZ40" s="189" t="n">
        <v>0</v>
      </c>
      <c r="BA40" s="192" t="n">
        <v>0</v>
      </c>
      <c r="BB40" s="196" t="n">
        <v>0</v>
      </c>
      <c r="BC40" s="198" t="n">
        <v>1</v>
      </c>
      <c r="BD40" s="202" t="n">
        <v>0</v>
      </c>
      <c r="BE40" s="204" t="n">
        <v>1</v>
      </c>
      <c r="BF40" s="205" t="n">
        <v>-1</v>
      </c>
      <c r="BG40" s="208" t="n">
        <v>0</v>
      </c>
      <c r="BH40" s="211" t="n">
        <v>0</v>
      </c>
      <c r="BI40" s="211" t="n">
        <v>0</v>
      </c>
      <c r="BJ40" s="211" t="n">
        <v>0</v>
      </c>
      <c r="BK40" s="211" t="n">
        <v>0</v>
      </c>
      <c r="BL40" s="211" t="n">
        <v>0</v>
      </c>
      <c r="BM40" s="211" t="n">
        <v>0</v>
      </c>
      <c r="BN40" s="215" t="n">
        <v>0</v>
      </c>
      <c r="BO40" s="215" t="n">
        <v>0</v>
      </c>
      <c r="BP40" s="215" t="n">
        <v>0</v>
      </c>
      <c r="BQ40" s="215" t="n">
        <v>0</v>
      </c>
    </row>
    <row r="41">
      <c r="A41" s="22">
        <f>"https://open.spotify.com/playlist/" &amp; C41</f>
        <v/>
      </c>
      <c r="B41" s="1" t="inlineStr">
        <is>
          <t>528 Hertz Sleep &amp; DNA Repair | Healing Frequency, Deep Relaxation, Meditation 2026 😴✨</t>
        </is>
      </c>
      <c r="C41" s="1" t="inlineStr">
        <is>
          <t>5XaXXlFmJfKo0lHYBbnibE</t>
        </is>
      </c>
      <c r="D41" s="3" t="n">
        <v>65</v>
      </c>
      <c r="E41" s="20" t="n">
        <v>1</v>
      </c>
      <c r="F41" s="26" t="n">
        <v>1</v>
      </c>
      <c r="G41" s="26" t="n">
        <v>1</v>
      </c>
      <c r="H41" s="28" t="n">
        <v>1</v>
      </c>
      <c r="I41" s="31" t="n">
        <v>1</v>
      </c>
      <c r="J41" s="74" t="n">
        <v>0</v>
      </c>
      <c r="K41" s="77" t="n">
        <v>1</v>
      </c>
      <c r="L41" s="78" t="n">
        <v>4</v>
      </c>
      <c r="M41" s="83" t="n">
        <v>0</v>
      </c>
      <c r="N41" s="86" t="n">
        <v>0</v>
      </c>
      <c r="O41" s="89" t="n">
        <v>3</v>
      </c>
      <c r="P41" s="92" t="n">
        <v>2</v>
      </c>
      <c r="Q41" s="95" t="n">
        <v>2</v>
      </c>
      <c r="R41" s="99" t="n">
        <v>2</v>
      </c>
      <c r="S41" s="102" t="n">
        <v>0</v>
      </c>
      <c r="T41" s="104" t="n">
        <v>3</v>
      </c>
      <c r="U41" s="108" t="n">
        <v>0</v>
      </c>
      <c r="V41" s="111" t="n">
        <v>0</v>
      </c>
      <c r="W41" s="114" t="n">
        <v>0</v>
      </c>
      <c r="X41" s="117" t="n">
        <v>0</v>
      </c>
      <c r="Y41" s="120" t="n">
        <v>0</v>
      </c>
      <c r="Z41" s="121" t="n">
        <v>1</v>
      </c>
      <c r="AA41" s="127" t="n">
        <v>0</v>
      </c>
      <c r="AB41" s="129" t="n">
        <v>2</v>
      </c>
      <c r="AC41" s="132" t="n">
        <v>2</v>
      </c>
      <c r="AD41" s="135" t="n">
        <v>2</v>
      </c>
      <c r="AE41" s="139" t="n">
        <v>1</v>
      </c>
      <c r="AF41" s="142" t="n">
        <v>0</v>
      </c>
      <c r="AG41" s="144" t="n">
        <v>1</v>
      </c>
      <c r="AH41" s="147" t="n">
        <v>1</v>
      </c>
      <c r="AI41" s="149" t="n">
        <v>5</v>
      </c>
      <c r="AJ41" s="152" t="n">
        <v>1</v>
      </c>
      <c r="AK41" s="154" t="n">
        <v>0</v>
      </c>
      <c r="AL41" s="157" t="n">
        <v>1</v>
      </c>
      <c r="AM41" s="160" t="n">
        <v>0</v>
      </c>
      <c r="AN41" s="163" t="n">
        <v>0</v>
      </c>
      <c r="AO41" s="163" t="n">
        <v>0</v>
      </c>
      <c r="AP41" s="166" t="n">
        <v>0</v>
      </c>
      <c r="AQ41" s="168" t="n">
        <v>1</v>
      </c>
      <c r="AR41" s="171" t="n">
        <v>1</v>
      </c>
      <c r="AS41" s="174" t="n">
        <v>1</v>
      </c>
      <c r="AT41" s="177" t="n">
        <v>1</v>
      </c>
      <c r="AU41" s="177" t="n">
        <v>1</v>
      </c>
      <c r="AV41" s="180" t="n">
        <v>1</v>
      </c>
      <c r="AW41" s="183" t="n">
        <v>0</v>
      </c>
      <c r="AX41" s="184" t="n">
        <v>2</v>
      </c>
      <c r="AY41" s="187" t="n">
        <v>-1</v>
      </c>
      <c r="AZ41" s="190" t="n">
        <v>1</v>
      </c>
      <c r="BA41" s="192" t="n">
        <v>0</v>
      </c>
      <c r="BB41" s="194" t="n">
        <v>1</v>
      </c>
      <c r="BC41" s="198" t="n">
        <v>3</v>
      </c>
      <c r="BD41" s="202" t="n">
        <v>0</v>
      </c>
      <c r="BE41" s="205" t="n">
        <v>0</v>
      </c>
      <c r="BF41" s="205" t="n">
        <v>0</v>
      </c>
      <c r="BG41" s="208" t="n">
        <v>0</v>
      </c>
      <c r="BH41" s="211" t="n">
        <v>0</v>
      </c>
      <c r="BI41" s="210" t="n">
        <v>1</v>
      </c>
      <c r="BJ41" s="211" t="n">
        <v>0</v>
      </c>
      <c r="BK41" s="211" t="n">
        <v>0</v>
      </c>
      <c r="BL41" s="211" t="n">
        <v>0</v>
      </c>
      <c r="BM41" s="210" t="n">
        <v>1</v>
      </c>
      <c r="BN41" s="215" t="n">
        <v>0</v>
      </c>
      <c r="BO41" s="214" t="n">
        <v>1</v>
      </c>
      <c r="BP41" s="215" t="n">
        <v>-1</v>
      </c>
      <c r="BQ41" s="215" t="n">
        <v>0</v>
      </c>
    </row>
    <row r="42">
      <c r="A42" s="22">
        <f>"https://open.spotify.com/playlist/" &amp; C42</f>
        <v/>
      </c>
      <c r="B42" s="1" t="inlineStr">
        <is>
          <t>Calming Sounds for Studying, Concentration, Relaxation, and Meditation | Focus &amp; Peaceful Ambience 2</t>
        </is>
      </c>
      <c r="C42" s="1" t="inlineStr">
        <is>
          <t>6iWD8vMkUkVivAD00wH4sF</t>
        </is>
      </c>
      <c r="D42" s="3" t="n">
        <v>82</v>
      </c>
      <c r="E42" s="20" t="n">
        <v>1</v>
      </c>
      <c r="F42" s="26" t="n">
        <v>1</v>
      </c>
      <c r="G42" s="26" t="n">
        <v>2</v>
      </c>
      <c r="H42" s="28" t="n">
        <v>2</v>
      </c>
      <c r="I42" s="31" t="n">
        <v>3</v>
      </c>
      <c r="J42" s="72" t="n">
        <v>6</v>
      </c>
      <c r="K42" s="77" t="n">
        <v>1</v>
      </c>
      <c r="L42" s="79" t="n">
        <v>1</v>
      </c>
      <c r="M42" s="82" t="n">
        <v>2</v>
      </c>
      <c r="N42" s="84" t="n">
        <v>8</v>
      </c>
      <c r="O42" s="90" t="n">
        <v>0</v>
      </c>
      <c r="P42" s="92" t="n">
        <v>2</v>
      </c>
      <c r="Q42" s="95" t="n">
        <v>1</v>
      </c>
      <c r="R42" s="99" t="n">
        <v>2</v>
      </c>
      <c r="S42" s="101" t="n">
        <v>1</v>
      </c>
      <c r="T42" s="104" t="n">
        <v>1</v>
      </c>
      <c r="U42" s="106" t="n">
        <v>5</v>
      </c>
      <c r="V42" s="110" t="n">
        <v>2</v>
      </c>
      <c r="W42" s="114" t="n">
        <v>0</v>
      </c>
      <c r="X42" s="116" t="n">
        <v>1</v>
      </c>
      <c r="Y42" s="119" t="n">
        <v>1</v>
      </c>
      <c r="Z42" s="123" t="n">
        <v>0</v>
      </c>
      <c r="AA42" s="126" t="n">
        <v>1</v>
      </c>
      <c r="AB42" s="130" t="n">
        <v>0</v>
      </c>
      <c r="AC42" s="132" t="n">
        <v>1</v>
      </c>
      <c r="AD42" s="135" t="n">
        <v>1</v>
      </c>
      <c r="AE42" s="138" t="n">
        <v>0</v>
      </c>
      <c r="AF42" s="142" t="n">
        <v>0</v>
      </c>
      <c r="AG42" s="145" t="n">
        <v>-1</v>
      </c>
      <c r="AH42" s="147" t="n">
        <v>1</v>
      </c>
      <c r="AI42" s="150" t="n">
        <v>1</v>
      </c>
      <c r="AJ42" s="152" t="n">
        <v>2</v>
      </c>
      <c r="AK42" s="154" t="n">
        <v>0</v>
      </c>
      <c r="AL42" s="157" t="n">
        <v>1</v>
      </c>
      <c r="AM42" s="160" t="n">
        <v>0</v>
      </c>
      <c r="AN42" s="162" t="n">
        <v>1</v>
      </c>
      <c r="AO42" s="162" t="n">
        <v>1</v>
      </c>
      <c r="AP42" s="165" t="n">
        <v>2</v>
      </c>
      <c r="AQ42" s="168" t="n">
        <v>1</v>
      </c>
      <c r="AR42" s="171" t="n">
        <v>1</v>
      </c>
      <c r="AS42" s="175" t="n">
        <v>0</v>
      </c>
      <c r="AT42" s="178" t="n">
        <v>0</v>
      </c>
      <c r="AU42" s="178" t="n">
        <v>0</v>
      </c>
      <c r="AV42" s="180" t="n">
        <v>1</v>
      </c>
      <c r="AW42" s="184" t="n">
        <v>1</v>
      </c>
      <c r="AX42" s="183" t="n">
        <v>0</v>
      </c>
      <c r="AY42" s="186" t="n">
        <v>1</v>
      </c>
      <c r="AZ42" s="190" t="n">
        <v>2</v>
      </c>
      <c r="BA42" s="192" t="n">
        <v>0</v>
      </c>
      <c r="BB42" s="194" t="n">
        <v>1</v>
      </c>
      <c r="BC42" s="199" t="n">
        <v>0</v>
      </c>
      <c r="BD42" s="202" t="n">
        <v>0</v>
      </c>
      <c r="BE42" s="205" t="n">
        <v>0</v>
      </c>
      <c r="BF42" s="205" t="n">
        <v>0</v>
      </c>
      <c r="BG42" s="208" t="n">
        <v>0</v>
      </c>
      <c r="BH42" s="210" t="n">
        <v>1</v>
      </c>
      <c r="BI42" s="210" t="n">
        <v>1</v>
      </c>
      <c r="BJ42" s="211" t="n">
        <v>0</v>
      </c>
      <c r="BK42" s="210" t="n">
        <v>1</v>
      </c>
      <c r="BL42" s="210" t="n">
        <v>1</v>
      </c>
      <c r="BM42" s="210" t="n">
        <v>1</v>
      </c>
      <c r="BN42" s="215" t="n">
        <v>0</v>
      </c>
      <c r="BO42" s="214" t="n">
        <v>2</v>
      </c>
      <c r="BP42" s="215" t="n">
        <v>0</v>
      </c>
      <c r="BQ42" s="214" t="n">
        <v>1</v>
      </c>
    </row>
    <row r="43">
      <c r="A43" s="22">
        <f>"https://open.spotify.com/playlist/" &amp; C43</f>
        <v/>
      </c>
      <c r="B43" s="1" t="inlineStr">
        <is>
          <t>BEACH WAVES @ NIGHT 🌊 | Ocean Ambience, Deep Sleep &amp; Relaxation Sounds</t>
        </is>
      </c>
      <c r="C43" s="1" t="inlineStr">
        <is>
          <t>1hFDnkX5L7n3dtnE8Nlq0j</t>
        </is>
      </c>
      <c r="D43" s="3" t="n">
        <v>112</v>
      </c>
      <c r="E43" s="20" t="n">
        <v>1</v>
      </c>
      <c r="F43" s="25" t="n">
        <v>0</v>
      </c>
      <c r="G43" s="26" t="n">
        <v>2</v>
      </c>
      <c r="H43" s="28" t="n">
        <v>1</v>
      </c>
      <c r="I43" s="32" t="n">
        <v>0</v>
      </c>
      <c r="J43" s="74" t="n">
        <v>0</v>
      </c>
      <c r="K43" s="76" t="n">
        <v>-1</v>
      </c>
      <c r="L43" s="79" t="n">
        <v>1</v>
      </c>
      <c r="M43" s="82" t="n">
        <v>1</v>
      </c>
      <c r="N43" s="86" t="n">
        <v>0</v>
      </c>
      <c r="O43" s="89" t="n">
        <v>3</v>
      </c>
      <c r="P43" s="92" t="n">
        <v>2</v>
      </c>
      <c r="Q43" s="96" t="n">
        <v>0</v>
      </c>
      <c r="R43" s="98" t="n">
        <v>0</v>
      </c>
      <c r="S43" s="101" t="n">
        <v>1</v>
      </c>
      <c r="T43" s="104" t="n">
        <v>1</v>
      </c>
      <c r="U43" s="107" t="n">
        <v>2</v>
      </c>
      <c r="V43" s="110" t="n">
        <v>3</v>
      </c>
      <c r="W43" s="113" t="n">
        <v>1</v>
      </c>
      <c r="X43" s="116" t="n">
        <v>1</v>
      </c>
      <c r="Y43" s="120" t="n">
        <v>0</v>
      </c>
      <c r="Z43" s="121" t="n">
        <v>2</v>
      </c>
      <c r="AA43" s="126" t="n">
        <v>1</v>
      </c>
      <c r="AB43" s="130" t="n">
        <v>0</v>
      </c>
      <c r="AC43" s="133" t="n">
        <v>0</v>
      </c>
      <c r="AD43" s="135" t="n">
        <v>2</v>
      </c>
      <c r="AE43" s="139" t="n">
        <v>1</v>
      </c>
      <c r="AF43" s="141" t="n">
        <v>1</v>
      </c>
      <c r="AG43" s="144" t="n">
        <v>3</v>
      </c>
      <c r="AH43" s="147" t="n">
        <v>2</v>
      </c>
      <c r="AI43" s="150" t="n">
        <v>3</v>
      </c>
      <c r="AJ43" s="154" t="n">
        <v>0</v>
      </c>
      <c r="AK43" s="154" t="n">
        <v>0</v>
      </c>
      <c r="AL43" s="156" t="n">
        <v>0</v>
      </c>
      <c r="AM43" s="159" t="n">
        <v>2</v>
      </c>
      <c r="AN43" s="162" t="n">
        <v>2</v>
      </c>
      <c r="AO43" s="162" t="n">
        <v>1</v>
      </c>
      <c r="AP43" s="164" t="n">
        <v>4</v>
      </c>
      <c r="AQ43" s="168" t="n">
        <v>1</v>
      </c>
      <c r="AR43" s="172" t="n">
        <v>0</v>
      </c>
      <c r="AS43" s="175" t="n">
        <v>0</v>
      </c>
      <c r="AT43" s="177" t="n">
        <v>2</v>
      </c>
      <c r="AU43" s="176" t="n">
        <v>5</v>
      </c>
      <c r="AV43" s="180" t="n">
        <v>1</v>
      </c>
      <c r="AW43" s="184" t="n">
        <v>1</v>
      </c>
      <c r="AX43" s="184" t="n">
        <v>2</v>
      </c>
      <c r="AY43" s="185" t="n">
        <v>6</v>
      </c>
      <c r="AZ43" s="190" t="n">
        <v>3</v>
      </c>
      <c r="BA43" s="191" t="n">
        <v>3</v>
      </c>
      <c r="BB43" s="195" t="n">
        <v>4</v>
      </c>
      <c r="BC43" s="197" t="n">
        <v>4</v>
      </c>
      <c r="BD43" s="200" t="n">
        <v>5</v>
      </c>
      <c r="BE43" s="204" t="n">
        <v>1</v>
      </c>
      <c r="BF43" s="205" t="n">
        <v>0</v>
      </c>
      <c r="BG43" s="207" t="n">
        <v>1</v>
      </c>
      <c r="BH43" s="210" t="n">
        <v>3</v>
      </c>
      <c r="BI43" s="210" t="n">
        <v>3</v>
      </c>
      <c r="BJ43" s="210" t="n">
        <v>1</v>
      </c>
      <c r="BK43" s="211" t="n">
        <v>0</v>
      </c>
      <c r="BL43" s="211" t="n">
        <v>0</v>
      </c>
      <c r="BM43" s="209" t="n">
        <v>5</v>
      </c>
      <c r="BN43" s="214" t="n">
        <v>2</v>
      </c>
      <c r="BO43" s="214" t="n">
        <v>2</v>
      </c>
      <c r="BP43" s="214" t="n">
        <v>1</v>
      </c>
      <c r="BQ43" s="214" t="n">
        <v>2</v>
      </c>
    </row>
    <row r="44">
      <c r="A44" s="22">
        <f>"https://open.spotify.com/playlist/" &amp; C44</f>
        <v/>
      </c>
      <c r="B44" s="1" t="inlineStr">
        <is>
          <t>MÉGA Running 150–160 BPM 🔥 Musique Running 150–160 BPM | Playlist Tempo Run | Cardio</t>
        </is>
      </c>
      <c r="C44" s="1" t="inlineStr">
        <is>
          <t>0r4ZUOVjd0w1uhoa5mZdIz</t>
        </is>
      </c>
      <c r="D44" s="3" t="n">
        <v>144</v>
      </c>
      <c r="E44" s="20" t="n">
        <v>1</v>
      </c>
      <c r="F44" s="26" t="n">
        <v>1</v>
      </c>
      <c r="G44" s="26" t="n">
        <v>1</v>
      </c>
      <c r="H44" s="28" t="n">
        <v>1</v>
      </c>
      <c r="I44" s="31" t="n">
        <v>3</v>
      </c>
      <c r="J44" s="73" t="n">
        <v>1</v>
      </c>
      <c r="K44" s="77" t="n">
        <v>2</v>
      </c>
      <c r="L44" s="79" t="n">
        <v>2</v>
      </c>
      <c r="M44" s="81" t="n">
        <v>4</v>
      </c>
      <c r="N44" s="86" t="n">
        <v>0</v>
      </c>
      <c r="O44" s="89" t="n">
        <v>1</v>
      </c>
      <c r="P44" s="93" t="n">
        <v>0</v>
      </c>
      <c r="Q44" s="94" t="n">
        <v>4</v>
      </c>
      <c r="R44" s="99" t="n">
        <v>2</v>
      </c>
      <c r="S44" s="101" t="n">
        <v>3</v>
      </c>
      <c r="T44" s="104" t="n">
        <v>3</v>
      </c>
      <c r="U44" s="107" t="n">
        <v>2</v>
      </c>
      <c r="V44" s="110" t="n">
        <v>2</v>
      </c>
      <c r="W44" s="114" t="n">
        <v>0</v>
      </c>
      <c r="X44" s="116" t="n">
        <v>1</v>
      </c>
      <c r="Y44" s="119" t="n">
        <v>3</v>
      </c>
      <c r="Z44" s="122" t="n">
        <v>5</v>
      </c>
      <c r="AA44" s="126" t="n">
        <v>1</v>
      </c>
      <c r="AB44" s="129" t="n">
        <v>2</v>
      </c>
      <c r="AC44" s="132" t="n">
        <v>1</v>
      </c>
      <c r="AD44" s="136" t="n">
        <v>0</v>
      </c>
      <c r="AE44" s="139" t="n">
        <v>1</v>
      </c>
      <c r="AF44" s="141" t="n">
        <v>3</v>
      </c>
      <c r="AG44" s="145" t="n">
        <v>0</v>
      </c>
      <c r="AH44" s="147" t="n">
        <v>2</v>
      </c>
      <c r="AI44" s="149" t="n">
        <v>5</v>
      </c>
      <c r="AJ44" s="152" t="n">
        <v>1</v>
      </c>
      <c r="AK44" s="152" t="n">
        <v>1</v>
      </c>
      <c r="AL44" s="157" t="n">
        <v>1</v>
      </c>
      <c r="AM44" s="158" t="n">
        <v>5</v>
      </c>
      <c r="AN44" s="161" t="n">
        <v>4</v>
      </c>
      <c r="AO44" s="161" t="n">
        <v>3</v>
      </c>
      <c r="AP44" s="164" t="n">
        <v>4</v>
      </c>
      <c r="AQ44" s="168" t="n">
        <v>2</v>
      </c>
      <c r="AR44" s="171" t="n">
        <v>1</v>
      </c>
      <c r="AS44" s="175" t="n">
        <v>0</v>
      </c>
      <c r="AT44" s="177" t="n">
        <v>3</v>
      </c>
      <c r="AU44" s="177" t="n">
        <v>2</v>
      </c>
      <c r="AV44" s="180" t="n">
        <v>3</v>
      </c>
      <c r="AW44" s="184" t="n">
        <v>1</v>
      </c>
      <c r="AX44" s="184" t="n">
        <v>1</v>
      </c>
      <c r="AY44" s="185" t="n">
        <v>4</v>
      </c>
      <c r="AZ44" s="190" t="n">
        <v>1</v>
      </c>
      <c r="BA44" s="191" t="n">
        <v>2</v>
      </c>
      <c r="BB44" s="194" t="n">
        <v>2</v>
      </c>
      <c r="BC44" s="197" t="n">
        <v>4</v>
      </c>
      <c r="BD44" s="201" t="n">
        <v>3</v>
      </c>
      <c r="BE44" s="204" t="n">
        <v>3</v>
      </c>
      <c r="BF44" s="204" t="n">
        <v>1</v>
      </c>
      <c r="BG44" s="207" t="n">
        <v>3</v>
      </c>
      <c r="BH44" s="209" t="n">
        <v>4</v>
      </c>
      <c r="BI44" s="209" t="n">
        <v>4</v>
      </c>
      <c r="BJ44" s="210" t="n">
        <v>3</v>
      </c>
      <c r="BK44" s="210" t="n">
        <v>2</v>
      </c>
      <c r="BL44" s="211" t="n">
        <v>0</v>
      </c>
      <c r="BM44" s="209" t="n">
        <v>4</v>
      </c>
      <c r="BN44" s="214" t="n">
        <v>1</v>
      </c>
      <c r="BO44" s="214" t="n">
        <v>1</v>
      </c>
      <c r="BP44" s="214" t="n">
        <v>1</v>
      </c>
      <c r="BQ44" s="214" t="n">
        <v>3</v>
      </c>
    </row>
    <row r="45">
      <c r="A45" s="22">
        <f>"https://open.spotify.com/playlist/" &amp; C45</f>
        <v/>
      </c>
      <c r="B45" s="1" t="inlineStr">
        <is>
          <t>SOOTHING Sleep for Overthinkers 🌙 | Quiet Mind &amp; Deep Sleep Music</t>
        </is>
      </c>
      <c r="C45" s="1" t="inlineStr">
        <is>
          <t>2b43FAF1QWpk55k06MEZ1Z</t>
        </is>
      </c>
      <c r="D45" s="3" t="n">
        <v>102</v>
      </c>
      <c r="E45" s="20" t="n">
        <v>1</v>
      </c>
      <c r="F45" s="25" t="n">
        <v>0</v>
      </c>
      <c r="G45" s="24" t="n">
        <v>4</v>
      </c>
      <c r="H45" s="29" t="n">
        <v>0</v>
      </c>
      <c r="I45" s="31" t="n">
        <v>2</v>
      </c>
      <c r="J45" s="73" t="n">
        <v>2</v>
      </c>
      <c r="K45" s="76" t="n">
        <v>-1</v>
      </c>
      <c r="L45" s="79" t="n">
        <v>1</v>
      </c>
      <c r="M45" s="82" t="n">
        <v>1</v>
      </c>
      <c r="N45" s="85" t="n">
        <v>1</v>
      </c>
      <c r="O45" s="89" t="n">
        <v>1</v>
      </c>
      <c r="P45" s="91" t="n">
        <v>6</v>
      </c>
      <c r="Q45" s="94" t="n">
        <v>6</v>
      </c>
      <c r="R45" s="99" t="n">
        <v>2</v>
      </c>
      <c r="S45" s="101" t="n">
        <v>1</v>
      </c>
      <c r="T45" s="104" t="n">
        <v>1</v>
      </c>
      <c r="U45" s="107" t="n">
        <v>2</v>
      </c>
      <c r="V45" s="110" t="n">
        <v>3</v>
      </c>
      <c r="W45" s="114" t="n">
        <v>0</v>
      </c>
      <c r="X45" s="116" t="n">
        <v>1</v>
      </c>
      <c r="Y45" s="118" t="n">
        <v>5</v>
      </c>
      <c r="Z45" s="122" t="n">
        <v>4</v>
      </c>
      <c r="AA45" s="126" t="n">
        <v>3</v>
      </c>
      <c r="AB45" s="130" t="n">
        <v>0</v>
      </c>
      <c r="AC45" s="132" t="n">
        <v>2</v>
      </c>
      <c r="AD45" s="135" t="n">
        <v>3</v>
      </c>
      <c r="AE45" s="138" t="n">
        <v>0</v>
      </c>
      <c r="AF45" s="140" t="n">
        <v>4</v>
      </c>
      <c r="AG45" s="144" t="n">
        <v>3</v>
      </c>
      <c r="AH45" s="147" t="n">
        <v>2</v>
      </c>
      <c r="AI45" s="150" t="n">
        <v>1</v>
      </c>
      <c r="AJ45" s="152" t="n">
        <v>1</v>
      </c>
      <c r="AK45" s="152" t="n">
        <v>1</v>
      </c>
      <c r="AL45" s="157" t="n">
        <v>2</v>
      </c>
      <c r="AM45" s="159" t="n">
        <v>2</v>
      </c>
      <c r="AN45" s="161" t="n">
        <v>3</v>
      </c>
      <c r="AO45" s="161" t="n">
        <v>2</v>
      </c>
      <c r="AP45" s="166" t="n">
        <v>0</v>
      </c>
      <c r="AQ45" s="168" t="n">
        <v>2</v>
      </c>
      <c r="AR45" s="171" t="n">
        <v>1</v>
      </c>
      <c r="AS45" s="175" t="n">
        <v>0</v>
      </c>
      <c r="AT45" s="178" t="n">
        <v>-1</v>
      </c>
      <c r="AU45" s="178" t="n">
        <v>0</v>
      </c>
      <c r="AV45" s="180" t="n">
        <v>3</v>
      </c>
      <c r="AW45" s="184" t="n">
        <v>1</v>
      </c>
      <c r="AX45" s="184" t="n">
        <v>1</v>
      </c>
      <c r="AY45" s="186" t="n">
        <v>2</v>
      </c>
      <c r="AZ45" s="189" t="n">
        <v>-1</v>
      </c>
      <c r="BA45" s="191" t="n">
        <v>2</v>
      </c>
      <c r="BB45" s="194" t="n">
        <v>1</v>
      </c>
      <c r="BC45" s="198" t="n">
        <v>1</v>
      </c>
      <c r="BD45" s="202" t="n">
        <v>0</v>
      </c>
      <c r="BE45" s="205" t="n">
        <v>-1</v>
      </c>
      <c r="BF45" s="204" t="n">
        <v>1</v>
      </c>
      <c r="BG45" s="207" t="n">
        <v>1</v>
      </c>
      <c r="BH45" s="210" t="n">
        <v>1</v>
      </c>
      <c r="BI45" s="211" t="n">
        <v>0</v>
      </c>
      <c r="BJ45" s="210" t="n">
        <v>1</v>
      </c>
      <c r="BK45" s="211" t="n">
        <v>0</v>
      </c>
      <c r="BL45" s="210" t="n">
        <v>2</v>
      </c>
      <c r="BM45" s="210" t="n">
        <v>1</v>
      </c>
      <c r="BN45" s="215" t="n">
        <v>0</v>
      </c>
      <c r="BO45" s="214" t="n">
        <v>3</v>
      </c>
      <c r="BP45" s="214" t="n">
        <v>1</v>
      </c>
      <c r="BQ45" s="215" t="n">
        <v>0</v>
      </c>
    </row>
    <row r="46">
      <c r="A46" s="22">
        <f>"https://open.spotify.com/playlist/" &amp; C46</f>
        <v/>
      </c>
      <c r="B46" s="1" t="inlineStr">
        <is>
          <t>MÁXIMA Estudiando para Exámenes 📚 | Música Focus | Playlist Estudio | Música Concentración</t>
        </is>
      </c>
      <c r="C46" s="1" t="inlineStr">
        <is>
          <t>7J7pQUgw7uMo99sNRIKDVs</t>
        </is>
      </c>
      <c r="D46" s="3" t="n">
        <v>14</v>
      </c>
      <c r="E46" s="20" t="n">
        <v>1</v>
      </c>
      <c r="F46" s="25" t="n">
        <v>-1</v>
      </c>
      <c r="G46" s="25" t="n">
        <v>0</v>
      </c>
      <c r="H46" s="29" t="n">
        <v>-1</v>
      </c>
      <c r="I46" s="32" t="n">
        <v>0</v>
      </c>
      <c r="J46" s="74" t="n">
        <v>0</v>
      </c>
      <c r="K46" s="76" t="n">
        <v>0</v>
      </c>
      <c r="L46" s="80" t="n">
        <v>0</v>
      </c>
      <c r="M46" s="82" t="n">
        <v>1</v>
      </c>
      <c r="N46" s="85" t="n">
        <v>1</v>
      </c>
      <c r="O46" s="89" t="n">
        <v>2</v>
      </c>
      <c r="P46" s="93" t="n">
        <v>0</v>
      </c>
      <c r="Q46" s="95" t="n">
        <v>1</v>
      </c>
      <c r="R46" s="98" t="n">
        <v>0</v>
      </c>
      <c r="S46" s="102" t="n">
        <v>0</v>
      </c>
      <c r="T46" s="105" t="n">
        <v>0</v>
      </c>
      <c r="U46" s="108" t="n">
        <v>0</v>
      </c>
      <c r="V46" s="111" t="n">
        <v>0</v>
      </c>
      <c r="W46" s="114" t="n">
        <v>0</v>
      </c>
      <c r="X46" s="117" t="n">
        <v>0</v>
      </c>
      <c r="Y46" s="120" t="n">
        <v>0</v>
      </c>
      <c r="Z46" s="123" t="n">
        <v>0</v>
      </c>
      <c r="AA46" s="127" t="n">
        <v>0</v>
      </c>
      <c r="AB46" s="130" t="n">
        <v>0</v>
      </c>
      <c r="AC46" s="133" t="n">
        <v>0</v>
      </c>
      <c r="AD46" s="136" t="n">
        <v>0</v>
      </c>
      <c r="AE46" s="138" t="n">
        <v>0</v>
      </c>
      <c r="AF46" s="142" t="n">
        <v>0</v>
      </c>
      <c r="AG46" s="145" t="n">
        <v>0</v>
      </c>
      <c r="AH46" s="148" t="n">
        <v>0</v>
      </c>
      <c r="AI46" s="151" t="n">
        <v>0</v>
      </c>
      <c r="AJ46" s="154" t="n">
        <v>0</v>
      </c>
      <c r="AK46" s="154" t="n">
        <v>0</v>
      </c>
      <c r="AL46" s="156" t="n">
        <v>0</v>
      </c>
      <c r="AM46" s="160" t="n">
        <v>0</v>
      </c>
      <c r="AN46" s="163" t="n">
        <v>0</v>
      </c>
      <c r="AO46" s="163" t="n">
        <v>0</v>
      </c>
      <c r="AP46" s="166" t="n">
        <v>0</v>
      </c>
      <c r="AQ46" s="169" t="n">
        <v>0</v>
      </c>
      <c r="AR46" s="171" t="n">
        <v>2</v>
      </c>
      <c r="AS46" s="175" t="n">
        <v>0</v>
      </c>
      <c r="AT46" s="178" t="n">
        <v>0</v>
      </c>
      <c r="AU46" s="178" t="n">
        <v>0</v>
      </c>
      <c r="AV46" s="181" t="n">
        <v>0</v>
      </c>
      <c r="AW46" s="183" t="n">
        <v>0</v>
      </c>
      <c r="AX46" s="183" t="n">
        <v>0</v>
      </c>
      <c r="AY46" s="187" t="n">
        <v>0</v>
      </c>
      <c r="AZ46" s="189" t="n">
        <v>0</v>
      </c>
      <c r="BA46" s="192" t="n">
        <v>0</v>
      </c>
      <c r="BB46" s="196" t="n">
        <v>0</v>
      </c>
      <c r="BC46" s="199" t="n">
        <v>0</v>
      </c>
      <c r="BD46" s="202" t="n">
        <v>0</v>
      </c>
      <c r="BE46" s="205" t="n">
        <v>0</v>
      </c>
      <c r="BF46" s="205" t="n">
        <v>0</v>
      </c>
      <c r="BG46" s="208" t="n">
        <v>0</v>
      </c>
      <c r="BH46" s="211" t="n">
        <v>0</v>
      </c>
      <c r="BI46" s="211" t="n">
        <v>0</v>
      </c>
      <c r="BJ46" s="211" t="n">
        <v>0</v>
      </c>
      <c r="BK46" s="211" t="n">
        <v>0</v>
      </c>
      <c r="BL46" s="211" t="n">
        <v>0</v>
      </c>
      <c r="BM46" s="211" t="n">
        <v>0</v>
      </c>
      <c r="BN46" s="215" t="n">
        <v>0</v>
      </c>
      <c r="BO46" s="215" t="n">
        <v>0</v>
      </c>
      <c r="BP46" s="215" t="n">
        <v>0</v>
      </c>
      <c r="BQ46" s="215" t="n">
        <v>0</v>
      </c>
    </row>
    <row r="47">
      <c r="A47" s="22">
        <f>"https://open.spotify.com/playlist/" &amp; C47</f>
        <v/>
      </c>
      <c r="B47" s="1" t="inlineStr">
        <is>
          <t>EXTREME Hardlopen 180–190 BPM 🔥 Snelle Running Muziek | Jogging Playlist</t>
        </is>
      </c>
      <c r="C47" s="1" t="inlineStr">
        <is>
          <t>3OIEK5FH9vEekTQCe0Iu6c</t>
        </is>
      </c>
      <c r="D47" s="3" t="n">
        <v>173</v>
      </c>
      <c r="E47" s="20" t="n">
        <v>1</v>
      </c>
      <c r="F47" s="25" t="n">
        <v>0</v>
      </c>
      <c r="G47" s="25" t="n">
        <v>0</v>
      </c>
      <c r="H47" s="28" t="n">
        <v>2</v>
      </c>
      <c r="I47" s="32" t="n">
        <v>0</v>
      </c>
      <c r="J47" s="73" t="n">
        <v>3</v>
      </c>
      <c r="K47" s="77" t="n">
        <v>2</v>
      </c>
      <c r="L47" s="78" t="n">
        <v>11</v>
      </c>
      <c r="M47" s="82" t="n">
        <v>3</v>
      </c>
      <c r="N47" s="84" t="n">
        <v>5</v>
      </c>
      <c r="O47" s="89" t="n">
        <v>3</v>
      </c>
      <c r="P47" s="91" t="n">
        <v>7</v>
      </c>
      <c r="Q47" s="96" t="n">
        <v>-1</v>
      </c>
      <c r="R47" s="97" t="n">
        <v>6</v>
      </c>
      <c r="S47" s="100" t="n">
        <v>8</v>
      </c>
      <c r="T47" s="103" t="n">
        <v>4</v>
      </c>
      <c r="U47" s="108" t="n">
        <v>0</v>
      </c>
      <c r="V47" s="110" t="n">
        <v>3</v>
      </c>
      <c r="W47" s="113" t="n">
        <v>1</v>
      </c>
      <c r="X47" s="115" t="n">
        <v>4</v>
      </c>
      <c r="Y47" s="120" t="n">
        <v>-1</v>
      </c>
      <c r="Z47" s="121" t="n">
        <v>3</v>
      </c>
      <c r="AA47" s="126" t="n">
        <v>1</v>
      </c>
      <c r="AB47" s="129" t="n">
        <v>1</v>
      </c>
      <c r="AC47" s="132" t="n">
        <v>2</v>
      </c>
      <c r="AD47" s="136" t="n">
        <v>0</v>
      </c>
      <c r="AE47" s="139" t="n">
        <v>2</v>
      </c>
      <c r="AF47" s="140" t="n">
        <v>5</v>
      </c>
      <c r="AG47" s="143" t="n">
        <v>5</v>
      </c>
      <c r="AH47" s="147" t="n">
        <v>2</v>
      </c>
      <c r="AI47" s="150" t="n">
        <v>2</v>
      </c>
      <c r="AJ47" s="152" t="n">
        <v>3</v>
      </c>
      <c r="AK47" s="153" t="n">
        <v>7</v>
      </c>
      <c r="AL47" s="157" t="n">
        <v>2</v>
      </c>
      <c r="AM47" s="158" t="n">
        <v>4</v>
      </c>
      <c r="AN47" s="161" t="n">
        <v>4</v>
      </c>
      <c r="AO47" s="161" t="n">
        <v>3</v>
      </c>
      <c r="AP47" s="165" t="n">
        <v>1</v>
      </c>
      <c r="AQ47" s="168" t="n">
        <v>2</v>
      </c>
      <c r="AR47" s="170" t="n">
        <v>4</v>
      </c>
      <c r="AS47" s="174" t="n">
        <v>2</v>
      </c>
      <c r="AT47" s="177" t="n">
        <v>1</v>
      </c>
      <c r="AU47" s="176" t="n">
        <v>6</v>
      </c>
      <c r="AV47" s="180" t="n">
        <v>3</v>
      </c>
      <c r="AW47" s="182" t="n">
        <v>5</v>
      </c>
      <c r="AX47" s="182" t="n">
        <v>4</v>
      </c>
      <c r="AY47" s="186" t="n">
        <v>1</v>
      </c>
      <c r="AZ47" s="190" t="n">
        <v>1</v>
      </c>
      <c r="BA47" s="192" t="n">
        <v>-1</v>
      </c>
      <c r="BB47" s="195" t="n">
        <v>5</v>
      </c>
      <c r="BC47" s="198" t="n">
        <v>2</v>
      </c>
      <c r="BD47" s="201" t="n">
        <v>1</v>
      </c>
      <c r="BE47" s="204" t="n">
        <v>1</v>
      </c>
      <c r="BF47" s="204" t="n">
        <v>1</v>
      </c>
      <c r="BG47" s="207" t="n">
        <v>3</v>
      </c>
      <c r="BH47" s="210" t="n">
        <v>2</v>
      </c>
      <c r="BI47" s="210" t="n">
        <v>3</v>
      </c>
      <c r="BJ47" s="210" t="n">
        <v>2</v>
      </c>
      <c r="BK47" s="210" t="n">
        <v>2</v>
      </c>
      <c r="BL47" s="210" t="n">
        <v>1</v>
      </c>
      <c r="BM47" s="211" t="n">
        <v>-1</v>
      </c>
      <c r="BN47" s="214" t="n">
        <v>2</v>
      </c>
      <c r="BO47" s="214" t="n">
        <v>2</v>
      </c>
      <c r="BP47" s="214" t="n">
        <v>2</v>
      </c>
      <c r="BQ47" s="214" t="n">
        <v>2</v>
      </c>
    </row>
    <row r="48">
      <c r="A48" s="22">
        <f>"https://open.spotify.com/playlist/" &amp; C48</f>
        <v/>
      </c>
      <c r="B48" s="1" t="inlineStr">
        <is>
          <t>Speeding Bangers 2026 | Fast Dance Hits, High BPM &amp; Adrenaline Music 💃⚡</t>
        </is>
      </c>
      <c r="C48" s="1" t="inlineStr">
        <is>
          <t>3oGaNqXQ1ChJocZzZjE7DG</t>
        </is>
      </c>
      <c r="D48" s="3" t="n">
        <v>120</v>
      </c>
      <c r="E48" s="20" t="n">
        <v>1</v>
      </c>
      <c r="F48" s="26" t="n">
        <v>1</v>
      </c>
      <c r="G48" s="26" t="n">
        <v>1</v>
      </c>
      <c r="H48" s="28" t="n">
        <v>1</v>
      </c>
      <c r="I48" s="31" t="n">
        <v>2</v>
      </c>
      <c r="J48" s="73" t="n">
        <v>2</v>
      </c>
      <c r="K48" s="75" t="n">
        <v>4</v>
      </c>
      <c r="L48" s="79" t="n">
        <v>2</v>
      </c>
      <c r="M48" s="83" t="n">
        <v>0</v>
      </c>
      <c r="N48" s="85" t="n">
        <v>2</v>
      </c>
      <c r="O48" s="89" t="n">
        <v>3</v>
      </c>
      <c r="P48" s="91" t="n">
        <v>5</v>
      </c>
      <c r="Q48" s="96" t="n">
        <v>0</v>
      </c>
      <c r="R48" s="99" t="n">
        <v>2</v>
      </c>
      <c r="S48" s="101" t="n">
        <v>2</v>
      </c>
      <c r="T48" s="104" t="n">
        <v>2</v>
      </c>
      <c r="U48" s="107" t="n">
        <v>3</v>
      </c>
      <c r="V48" s="110" t="n">
        <v>2</v>
      </c>
      <c r="W48" s="113" t="n">
        <v>3</v>
      </c>
      <c r="X48" s="116" t="n">
        <v>1</v>
      </c>
      <c r="Y48" s="119" t="n">
        <v>3</v>
      </c>
      <c r="Z48" s="121" t="n">
        <v>2</v>
      </c>
      <c r="AA48" s="127" t="n">
        <v>0</v>
      </c>
      <c r="AB48" s="129" t="n">
        <v>1</v>
      </c>
      <c r="AC48" s="132" t="n">
        <v>2</v>
      </c>
      <c r="AD48" s="136" t="n">
        <v>0</v>
      </c>
      <c r="AE48" s="138" t="n">
        <v>0</v>
      </c>
      <c r="AF48" s="140" t="n">
        <v>4</v>
      </c>
      <c r="AG48" s="144" t="n">
        <v>1</v>
      </c>
      <c r="AH48" s="148" t="n">
        <v>0</v>
      </c>
      <c r="AI48" s="150" t="n">
        <v>2</v>
      </c>
      <c r="AJ48" s="154" t="n">
        <v>0</v>
      </c>
      <c r="AK48" s="152" t="n">
        <v>2</v>
      </c>
      <c r="AL48" s="157" t="n">
        <v>1</v>
      </c>
      <c r="AM48" s="159" t="n">
        <v>2</v>
      </c>
      <c r="AN48" s="163" t="n">
        <v>0</v>
      </c>
      <c r="AO48" s="163" t="n">
        <v>0</v>
      </c>
      <c r="AP48" s="166" t="n">
        <v>0</v>
      </c>
      <c r="AQ48" s="168" t="n">
        <v>3</v>
      </c>
      <c r="AR48" s="171" t="n">
        <v>1</v>
      </c>
      <c r="AS48" s="174" t="n">
        <v>2</v>
      </c>
      <c r="AT48" s="178" t="n">
        <v>0</v>
      </c>
      <c r="AU48" s="177" t="n">
        <v>1</v>
      </c>
      <c r="AV48" s="180" t="n">
        <v>3</v>
      </c>
      <c r="AW48" s="184" t="n">
        <v>1</v>
      </c>
      <c r="AX48" s="183" t="n">
        <v>0</v>
      </c>
      <c r="AY48" s="186" t="n">
        <v>1</v>
      </c>
      <c r="AZ48" s="190" t="n">
        <v>2</v>
      </c>
      <c r="BA48" s="191" t="n">
        <v>1</v>
      </c>
      <c r="BB48" s="194" t="n">
        <v>2</v>
      </c>
      <c r="BC48" s="199" t="n">
        <v>0</v>
      </c>
      <c r="BD48" s="201" t="n">
        <v>2</v>
      </c>
      <c r="BE48" s="205" t="n">
        <v>0</v>
      </c>
      <c r="BF48" s="204" t="n">
        <v>3</v>
      </c>
      <c r="BG48" s="207" t="n">
        <v>2</v>
      </c>
      <c r="BH48" s="210" t="n">
        <v>2</v>
      </c>
      <c r="BI48" s="210" t="n">
        <v>3</v>
      </c>
      <c r="BJ48" s="211" t="n">
        <v>0</v>
      </c>
      <c r="BK48" s="210" t="n">
        <v>3</v>
      </c>
      <c r="BL48" s="210" t="n">
        <v>1</v>
      </c>
      <c r="BM48" s="211" t="n">
        <v>0</v>
      </c>
      <c r="BN48" s="215" t="n">
        <v>-1</v>
      </c>
      <c r="BO48" s="215" t="n">
        <v>0</v>
      </c>
      <c r="BP48" s="215" t="n">
        <v>0</v>
      </c>
      <c r="BQ48" s="214" t="n">
        <v>1</v>
      </c>
    </row>
    <row r="49">
      <c r="A49" s="22">
        <f>"https://open.spotify.com/playlist/" &amp; C49</f>
        <v/>
      </c>
      <c r="B49" s="1" t="inlineStr">
        <is>
          <t>Songs for Rich People 2026 | Luxury Vibes, Money Music &amp; Elite Energy 💸✨</t>
        </is>
      </c>
      <c r="C49" s="1" t="inlineStr">
        <is>
          <t>7FhcbimO328VlO4T1ycUCT</t>
        </is>
      </c>
      <c r="D49" s="3" t="n">
        <v>72</v>
      </c>
      <c r="E49" s="20" t="n">
        <v>1</v>
      </c>
      <c r="F49" s="26" t="n">
        <v>2</v>
      </c>
      <c r="G49" s="25" t="n">
        <v>0</v>
      </c>
      <c r="H49" s="28" t="n">
        <v>1</v>
      </c>
      <c r="I49" s="31" t="n">
        <v>3</v>
      </c>
      <c r="J49" s="73" t="n">
        <v>1</v>
      </c>
      <c r="K49" s="77" t="n">
        <v>1</v>
      </c>
      <c r="L49" s="80" t="n">
        <v>0</v>
      </c>
      <c r="M49" s="82" t="n">
        <v>1</v>
      </c>
      <c r="N49" s="85" t="n">
        <v>1</v>
      </c>
      <c r="O49" s="89" t="n">
        <v>2</v>
      </c>
      <c r="P49" s="92" t="n">
        <v>2</v>
      </c>
      <c r="Q49" s="95" t="n">
        <v>3</v>
      </c>
      <c r="R49" s="98" t="n">
        <v>0</v>
      </c>
      <c r="S49" s="101" t="n">
        <v>1</v>
      </c>
      <c r="T49" s="104" t="n">
        <v>1</v>
      </c>
      <c r="U49" s="107" t="n">
        <v>1</v>
      </c>
      <c r="V49" s="110" t="n">
        <v>3</v>
      </c>
      <c r="W49" s="113" t="n">
        <v>2</v>
      </c>
      <c r="X49" s="117" t="n">
        <v>0</v>
      </c>
      <c r="Y49" s="119" t="n">
        <v>2</v>
      </c>
      <c r="Z49" s="123" t="n">
        <v>0</v>
      </c>
      <c r="AA49" s="126" t="n">
        <v>1</v>
      </c>
      <c r="AB49" s="130" t="n">
        <v>0</v>
      </c>
      <c r="AC49" s="132" t="n">
        <v>1</v>
      </c>
      <c r="AD49" s="135" t="n">
        <v>1</v>
      </c>
      <c r="AE49" s="138" t="n">
        <v>-1</v>
      </c>
      <c r="AF49" s="142" t="n">
        <v>0</v>
      </c>
      <c r="AG49" s="145" t="n">
        <v>-1</v>
      </c>
      <c r="AH49" s="148" t="n">
        <v>0</v>
      </c>
      <c r="AI49" s="151" t="n">
        <v>0</v>
      </c>
      <c r="AJ49" s="152" t="n">
        <v>1</v>
      </c>
      <c r="AK49" s="152" t="n">
        <v>3</v>
      </c>
      <c r="AL49" s="157" t="n">
        <v>1</v>
      </c>
      <c r="AM49" s="159" t="n">
        <v>2</v>
      </c>
      <c r="AN49" s="162" t="n">
        <v>2</v>
      </c>
      <c r="AO49" s="162" t="n">
        <v>1</v>
      </c>
      <c r="AP49" s="166" t="n">
        <v>0</v>
      </c>
      <c r="AQ49" s="168" t="n">
        <v>2</v>
      </c>
      <c r="AR49" s="172" t="n">
        <v>0</v>
      </c>
      <c r="AS49" s="174" t="n">
        <v>1</v>
      </c>
      <c r="AT49" s="177" t="n">
        <v>1</v>
      </c>
      <c r="AU49" s="178" t="n">
        <v>0</v>
      </c>
      <c r="AV49" s="180" t="n">
        <v>1</v>
      </c>
      <c r="AW49" s="184" t="n">
        <v>1</v>
      </c>
      <c r="AX49" s="183" t="n">
        <v>0</v>
      </c>
      <c r="AY49" s="186" t="n">
        <v>3</v>
      </c>
      <c r="AZ49" s="190" t="n">
        <v>1</v>
      </c>
      <c r="BA49" s="192" t="n">
        <v>0</v>
      </c>
      <c r="BB49" s="196" t="n">
        <v>0</v>
      </c>
      <c r="BC49" s="198" t="n">
        <v>1</v>
      </c>
      <c r="BD49" s="202" t="n">
        <v>0</v>
      </c>
      <c r="BE49" s="205" t="n">
        <v>0</v>
      </c>
      <c r="BF49" s="205" t="n">
        <v>0</v>
      </c>
      <c r="BG49" s="207" t="n">
        <v>3</v>
      </c>
      <c r="BH49" s="211" t="n">
        <v>-1</v>
      </c>
      <c r="BI49" s="211" t="n">
        <v>0</v>
      </c>
      <c r="BJ49" s="211" t="n">
        <v>0</v>
      </c>
      <c r="BK49" s="210" t="n">
        <v>2</v>
      </c>
      <c r="BL49" s="210" t="n">
        <v>2</v>
      </c>
      <c r="BM49" s="211" t="n">
        <v>0</v>
      </c>
      <c r="BN49" s="215" t="n">
        <v>0</v>
      </c>
      <c r="BO49" s="215" t="n">
        <v>0</v>
      </c>
      <c r="BP49" s="215" t="n">
        <v>0</v>
      </c>
      <c r="BQ49" s="214" t="n">
        <v>2</v>
      </c>
    </row>
    <row r="50">
      <c r="A50" s="22">
        <f>"https://open.spotify.com/playlist/" &amp; C50</f>
        <v/>
      </c>
      <c r="B50" s="1" t="inlineStr">
        <is>
          <t>POTENTE Corsa 150–160 BPM 🔥 Musica Running 150–160 BPM | Playlist Tempo Run | Cardio</t>
        </is>
      </c>
      <c r="C50" s="1" t="inlineStr">
        <is>
          <t>5Z6VJV31v0RKpG4gUfm353</t>
        </is>
      </c>
      <c r="D50" s="3" t="n">
        <v>170</v>
      </c>
      <c r="E50" s="20" t="n">
        <v>1</v>
      </c>
      <c r="F50" s="26" t="n">
        <v>1</v>
      </c>
      <c r="G50" s="26" t="n">
        <v>2</v>
      </c>
      <c r="H50" s="28" t="n">
        <v>1</v>
      </c>
      <c r="I50" s="31" t="n">
        <v>2</v>
      </c>
      <c r="J50" s="73" t="n">
        <v>3</v>
      </c>
      <c r="K50" s="75" t="n">
        <v>4</v>
      </c>
      <c r="L50" s="79" t="n">
        <v>2</v>
      </c>
      <c r="M50" s="83" t="n">
        <v>0</v>
      </c>
      <c r="N50" s="84" t="n">
        <v>5</v>
      </c>
      <c r="O50" s="89" t="n">
        <v>2</v>
      </c>
      <c r="P50" s="91" t="n">
        <v>5</v>
      </c>
      <c r="Q50" s="94" t="n">
        <v>4</v>
      </c>
      <c r="R50" s="98" t="n">
        <v>0</v>
      </c>
      <c r="S50" s="101" t="n">
        <v>1</v>
      </c>
      <c r="T50" s="104" t="n">
        <v>3</v>
      </c>
      <c r="U50" s="107" t="n">
        <v>3</v>
      </c>
      <c r="V50" s="110" t="n">
        <v>3</v>
      </c>
      <c r="W50" s="113" t="n">
        <v>2</v>
      </c>
      <c r="X50" s="116" t="n">
        <v>3</v>
      </c>
      <c r="Y50" s="118" t="n">
        <v>5</v>
      </c>
      <c r="Z50" s="121" t="n">
        <v>3</v>
      </c>
      <c r="AA50" s="126" t="n">
        <v>2</v>
      </c>
      <c r="AB50" s="129" t="n">
        <v>3</v>
      </c>
      <c r="AC50" s="132" t="n">
        <v>2</v>
      </c>
      <c r="AD50" s="134" t="n">
        <v>4</v>
      </c>
      <c r="AE50" s="139" t="n">
        <v>2</v>
      </c>
      <c r="AF50" s="142" t="n">
        <v>0</v>
      </c>
      <c r="AG50" s="143" t="n">
        <v>5</v>
      </c>
      <c r="AH50" s="147" t="n">
        <v>2</v>
      </c>
      <c r="AI50" s="150" t="n">
        <v>1</v>
      </c>
      <c r="AJ50" s="152" t="n">
        <v>1</v>
      </c>
      <c r="AK50" s="152" t="n">
        <v>2</v>
      </c>
      <c r="AL50" s="157" t="n">
        <v>3</v>
      </c>
      <c r="AM50" s="159" t="n">
        <v>2</v>
      </c>
      <c r="AN50" s="162" t="n">
        <v>1</v>
      </c>
      <c r="AO50" s="162" t="n">
        <v>0</v>
      </c>
      <c r="AP50" s="165" t="n">
        <v>3</v>
      </c>
      <c r="AQ50" s="169" t="n">
        <v>0</v>
      </c>
      <c r="AR50" s="171" t="n">
        <v>3</v>
      </c>
      <c r="AS50" s="175" t="n">
        <v>0</v>
      </c>
      <c r="AT50" s="177" t="n">
        <v>1</v>
      </c>
      <c r="AU50" s="176" t="n">
        <v>8</v>
      </c>
      <c r="AV50" s="180" t="n">
        <v>1</v>
      </c>
      <c r="AW50" s="182" t="n">
        <v>6</v>
      </c>
      <c r="AX50" s="184" t="n">
        <v>1</v>
      </c>
      <c r="AY50" s="187" t="n">
        <v>0</v>
      </c>
      <c r="AZ50" s="188" t="n">
        <v>4</v>
      </c>
      <c r="BA50" s="191" t="n">
        <v>2</v>
      </c>
      <c r="BB50" s="194" t="n">
        <v>2</v>
      </c>
      <c r="BC50" s="198" t="n">
        <v>1</v>
      </c>
      <c r="BD50" s="201" t="n">
        <v>3</v>
      </c>
      <c r="BE50" s="204" t="n">
        <v>1</v>
      </c>
      <c r="BF50" s="204" t="n">
        <v>3</v>
      </c>
      <c r="BG50" s="206" t="n">
        <v>6</v>
      </c>
      <c r="BH50" s="210" t="n">
        <v>2</v>
      </c>
      <c r="BI50" s="209" t="n">
        <v>6</v>
      </c>
      <c r="BJ50" s="209" t="n">
        <v>5</v>
      </c>
      <c r="BK50" s="210" t="n">
        <v>1</v>
      </c>
      <c r="BL50" s="211" t="n">
        <v>0</v>
      </c>
      <c r="BM50" s="210" t="n">
        <v>2</v>
      </c>
      <c r="BN50" s="216" t="n">
        <v>6</v>
      </c>
      <c r="BO50" s="214" t="n">
        <v>1</v>
      </c>
      <c r="BP50" s="214" t="n">
        <v>2</v>
      </c>
      <c r="BQ50" s="214" t="n">
        <v>3</v>
      </c>
    </row>
    <row r="51">
      <c r="A51" s="22">
        <f>"https://open.spotify.com/playlist/" &amp; C51</f>
        <v/>
      </c>
      <c r="B51" s="1" t="inlineStr">
        <is>
          <t>Gym House 2026 | House Beats for Workout, Fitness &amp; Dance Energy ⚡💃</t>
        </is>
      </c>
      <c r="C51" s="1" t="inlineStr">
        <is>
          <t>13sq9Yid16Kbcv2Lu6qbVI</t>
        </is>
      </c>
      <c r="D51" s="3" t="n">
        <v>113</v>
      </c>
      <c r="E51" s="21" t="n">
        <v>0</v>
      </c>
      <c r="F51" s="26" t="n">
        <v>2</v>
      </c>
      <c r="G51" s="26" t="n">
        <v>2</v>
      </c>
      <c r="H51" s="28" t="n">
        <v>2</v>
      </c>
      <c r="I51" s="31" t="n">
        <v>2</v>
      </c>
      <c r="J51" s="73" t="n">
        <v>2</v>
      </c>
      <c r="K51" s="76" t="n">
        <v>0</v>
      </c>
      <c r="L51" s="78" t="n">
        <v>5</v>
      </c>
      <c r="M51" s="82" t="n">
        <v>1</v>
      </c>
      <c r="N51" s="85" t="n">
        <v>3</v>
      </c>
      <c r="O51" s="89" t="n">
        <v>3</v>
      </c>
      <c r="P51" s="92" t="n">
        <v>2</v>
      </c>
      <c r="Q51" s="95" t="n">
        <v>3</v>
      </c>
      <c r="R51" s="99" t="n">
        <v>3</v>
      </c>
      <c r="S51" s="101" t="n">
        <v>2</v>
      </c>
      <c r="T51" s="103" t="n">
        <v>4</v>
      </c>
      <c r="U51" s="106" t="n">
        <v>4</v>
      </c>
      <c r="V51" s="110" t="n">
        <v>2</v>
      </c>
      <c r="W51" s="113" t="n">
        <v>1</v>
      </c>
      <c r="X51" s="117" t="n">
        <v>0</v>
      </c>
      <c r="Y51" s="119" t="n">
        <v>1</v>
      </c>
      <c r="Z51" s="121" t="n">
        <v>1</v>
      </c>
      <c r="AA51" s="126" t="n">
        <v>1</v>
      </c>
      <c r="AB51" s="130" t="n">
        <v>0</v>
      </c>
      <c r="AC51" s="131" t="n">
        <v>4</v>
      </c>
      <c r="AD51" s="135" t="n">
        <v>1</v>
      </c>
      <c r="AE51" s="137" t="n">
        <v>4</v>
      </c>
      <c r="AF51" s="142" t="n">
        <v>-1</v>
      </c>
      <c r="AG51" s="145" t="n">
        <v>0</v>
      </c>
      <c r="AH51" s="148" t="n">
        <v>0</v>
      </c>
      <c r="AI51" s="150" t="n">
        <v>1</v>
      </c>
      <c r="AJ51" s="154" t="n">
        <v>0</v>
      </c>
      <c r="AK51" s="152" t="n">
        <v>1</v>
      </c>
      <c r="AL51" s="157" t="n">
        <v>1</v>
      </c>
      <c r="AM51" s="159" t="n">
        <v>1</v>
      </c>
      <c r="AN51" s="162" t="n">
        <v>1</v>
      </c>
      <c r="AO51" s="162" t="n">
        <v>0</v>
      </c>
      <c r="AP51" s="166" t="n">
        <v>0</v>
      </c>
      <c r="AQ51" s="168" t="n">
        <v>1</v>
      </c>
      <c r="AR51" s="170" t="n">
        <v>4</v>
      </c>
      <c r="AS51" s="174" t="n">
        <v>2</v>
      </c>
      <c r="AT51" s="177" t="n">
        <v>1</v>
      </c>
      <c r="AU51" s="177" t="n">
        <v>2</v>
      </c>
      <c r="AV51" s="180" t="n">
        <v>2</v>
      </c>
      <c r="AW51" s="184" t="n">
        <v>1</v>
      </c>
      <c r="AX51" s="184" t="n">
        <v>1</v>
      </c>
      <c r="AY51" s="187" t="n">
        <v>0</v>
      </c>
      <c r="AZ51" s="190" t="n">
        <v>3</v>
      </c>
      <c r="BA51" s="191" t="n">
        <v>1</v>
      </c>
      <c r="BB51" s="196" t="n">
        <v>0</v>
      </c>
      <c r="BC51" s="199" t="n">
        <v>0</v>
      </c>
      <c r="BD51" s="201" t="n">
        <v>1</v>
      </c>
      <c r="BE51" s="204" t="n">
        <v>1</v>
      </c>
      <c r="BF51" s="204" t="n">
        <v>2</v>
      </c>
      <c r="BG51" s="208" t="n">
        <v>0</v>
      </c>
      <c r="BH51" s="210" t="n">
        <v>1</v>
      </c>
      <c r="BI51" s="210" t="n">
        <v>3</v>
      </c>
      <c r="BJ51" s="211" t="n">
        <v>0</v>
      </c>
      <c r="BK51" s="211" t="n">
        <v>0</v>
      </c>
      <c r="BL51" s="210" t="n">
        <v>1</v>
      </c>
      <c r="BM51" s="211" t="n">
        <v>0</v>
      </c>
      <c r="BN51" s="215" t="n">
        <v>0</v>
      </c>
      <c r="BO51" s="214" t="n">
        <v>1</v>
      </c>
      <c r="BP51" s="214" t="n">
        <v>1</v>
      </c>
      <c r="BQ51" s="215" t="n">
        <v>0</v>
      </c>
    </row>
    <row r="52">
      <c r="A52" s="22">
        <f>"https://open.spotify.com/playlist/" &amp; C52</f>
        <v/>
      </c>
      <c r="B52" s="1" t="inlineStr">
        <is>
          <t>Healing Music &amp; Nature Sounds | Relaxation, Stress Relief, Peaceful Ambience 2026 🌿🎧</t>
        </is>
      </c>
      <c r="C52" s="1" t="inlineStr">
        <is>
          <t>0rRoacxw9IS0Omsl4j1oJE</t>
        </is>
      </c>
      <c r="D52" s="3" t="n">
        <v>119</v>
      </c>
      <c r="E52" s="21" t="n">
        <v>0</v>
      </c>
      <c r="F52" s="26" t="n">
        <v>3</v>
      </c>
      <c r="G52" s="26" t="n">
        <v>2</v>
      </c>
      <c r="H52" s="27" t="n">
        <v>7</v>
      </c>
      <c r="I52" s="31" t="n">
        <v>3</v>
      </c>
      <c r="J52" s="73" t="n">
        <v>3</v>
      </c>
      <c r="K52" s="77" t="n">
        <v>1</v>
      </c>
      <c r="L52" s="79" t="n">
        <v>2</v>
      </c>
      <c r="M52" s="82" t="n">
        <v>3</v>
      </c>
      <c r="N52" s="85" t="n">
        <v>1</v>
      </c>
      <c r="O52" s="89" t="n">
        <v>1</v>
      </c>
      <c r="P52" s="92" t="n">
        <v>1</v>
      </c>
      <c r="Q52" s="95" t="n">
        <v>1</v>
      </c>
      <c r="R52" s="99" t="n">
        <v>3</v>
      </c>
      <c r="S52" s="101" t="n">
        <v>3</v>
      </c>
      <c r="T52" s="103" t="n">
        <v>6</v>
      </c>
      <c r="U52" s="107" t="n">
        <v>1</v>
      </c>
      <c r="V52" s="110" t="n">
        <v>1</v>
      </c>
      <c r="W52" s="113" t="n">
        <v>1</v>
      </c>
      <c r="X52" s="116" t="n">
        <v>3</v>
      </c>
      <c r="Y52" s="119" t="n">
        <v>1</v>
      </c>
      <c r="Z52" s="121" t="n">
        <v>1</v>
      </c>
      <c r="AA52" s="126" t="n">
        <v>1</v>
      </c>
      <c r="AB52" s="129" t="n">
        <v>2</v>
      </c>
      <c r="AC52" s="132" t="n">
        <v>1</v>
      </c>
      <c r="AD52" s="135" t="n">
        <v>2</v>
      </c>
      <c r="AE52" s="137" t="n">
        <v>4</v>
      </c>
      <c r="AF52" s="142" t="n">
        <v>0</v>
      </c>
      <c r="AG52" s="144" t="n">
        <v>1</v>
      </c>
      <c r="AH52" s="147" t="n">
        <v>2</v>
      </c>
      <c r="AI52" s="151" t="n">
        <v>0</v>
      </c>
      <c r="AJ52" s="153" t="n">
        <v>5</v>
      </c>
      <c r="AK52" s="152" t="n">
        <v>1</v>
      </c>
      <c r="AL52" s="156" t="n">
        <v>0</v>
      </c>
      <c r="AM52" s="159" t="n">
        <v>1</v>
      </c>
      <c r="AN52" s="161" t="n">
        <v>3</v>
      </c>
      <c r="AO52" s="161" t="n">
        <v>3</v>
      </c>
      <c r="AP52" s="165" t="n">
        <v>2</v>
      </c>
      <c r="AQ52" s="167" t="n">
        <v>5</v>
      </c>
      <c r="AR52" s="172" t="n">
        <v>-1</v>
      </c>
      <c r="AS52" s="174" t="n">
        <v>1</v>
      </c>
      <c r="AT52" s="177" t="n">
        <v>1</v>
      </c>
      <c r="AU52" s="177" t="n">
        <v>1</v>
      </c>
      <c r="AV52" s="180" t="n">
        <v>2</v>
      </c>
      <c r="AW52" s="183" t="n">
        <v>0</v>
      </c>
      <c r="AX52" s="183" t="n">
        <v>0</v>
      </c>
      <c r="AY52" s="187" t="n">
        <v>0</v>
      </c>
      <c r="AZ52" s="190" t="n">
        <v>1</v>
      </c>
      <c r="BA52" s="192" t="n">
        <v>0</v>
      </c>
      <c r="BB52" s="196" t="n">
        <v>0</v>
      </c>
      <c r="BC52" s="198" t="n">
        <v>2</v>
      </c>
      <c r="BD52" s="201" t="n">
        <v>3</v>
      </c>
      <c r="BE52" s="205" t="n">
        <v>0</v>
      </c>
      <c r="BF52" s="204" t="n">
        <v>1</v>
      </c>
      <c r="BG52" s="206" t="n">
        <v>4</v>
      </c>
      <c r="BH52" s="210" t="n">
        <v>2</v>
      </c>
      <c r="BI52" s="211" t="n">
        <v>-1</v>
      </c>
      <c r="BJ52" s="211" t="n">
        <v>-2</v>
      </c>
      <c r="BK52" s="210" t="n">
        <v>2</v>
      </c>
      <c r="BL52" s="211" t="n">
        <v>0</v>
      </c>
      <c r="BM52" s="211" t="n">
        <v>0</v>
      </c>
      <c r="BN52" s="214" t="n">
        <v>1</v>
      </c>
      <c r="BO52" s="215" t="n">
        <v>0</v>
      </c>
      <c r="BP52" s="215" t="n">
        <v>0</v>
      </c>
      <c r="BQ52" s="214" t="n">
        <v>1</v>
      </c>
    </row>
    <row r="53">
      <c r="A53" s="22">
        <f>"https://open.spotify.com/playlist/" &amp; C53</f>
        <v/>
      </c>
      <c r="B53" s="1" t="inlineStr">
        <is>
          <t>Beatport Top 100 | Peak Time Techno, Driving Techno, Festival &amp; Club Anthems 2026 🖤⚡</t>
        </is>
      </c>
      <c r="C53" s="1" t="inlineStr">
        <is>
          <t>6l5lNX0jRV69Znykcp58oT</t>
        </is>
      </c>
      <c r="D53" s="3" t="n">
        <v>88</v>
      </c>
      <c r="E53" s="21" t="n">
        <v>0</v>
      </c>
      <c r="F53" s="26" t="n">
        <v>3</v>
      </c>
      <c r="G53" s="26" t="n">
        <v>1</v>
      </c>
      <c r="H53" s="28" t="n">
        <v>2</v>
      </c>
      <c r="I53" s="31" t="n">
        <v>2</v>
      </c>
      <c r="J53" s="73" t="n">
        <v>2</v>
      </c>
      <c r="K53" s="77" t="n">
        <v>2</v>
      </c>
      <c r="L53" s="79" t="n">
        <v>2</v>
      </c>
      <c r="M53" s="82" t="n">
        <v>1</v>
      </c>
      <c r="N53" s="85" t="n">
        <v>1</v>
      </c>
      <c r="O53" s="89" t="n">
        <v>1</v>
      </c>
      <c r="P53" s="92" t="n">
        <v>3</v>
      </c>
      <c r="Q53" s="95" t="n">
        <v>1</v>
      </c>
      <c r="R53" s="99" t="n">
        <v>1</v>
      </c>
      <c r="S53" s="100" t="n">
        <v>4</v>
      </c>
      <c r="T53" s="104" t="n">
        <v>3</v>
      </c>
      <c r="U53" s="107" t="n">
        <v>1</v>
      </c>
      <c r="V53" s="111" t="n">
        <v>0</v>
      </c>
      <c r="W53" s="113" t="n">
        <v>2</v>
      </c>
      <c r="X53" s="116" t="n">
        <v>1</v>
      </c>
      <c r="Y53" s="119" t="n">
        <v>3</v>
      </c>
      <c r="Z53" s="123" t="n">
        <v>0</v>
      </c>
      <c r="AA53" s="126" t="n">
        <v>1</v>
      </c>
      <c r="AB53" s="129" t="n">
        <v>2</v>
      </c>
      <c r="AC53" s="132" t="n">
        <v>1</v>
      </c>
      <c r="AD53" s="136" t="n">
        <v>0</v>
      </c>
      <c r="AE53" s="137" t="n">
        <v>4</v>
      </c>
      <c r="AF53" s="141" t="n">
        <v>2</v>
      </c>
      <c r="AG53" s="144" t="n">
        <v>1</v>
      </c>
      <c r="AH53" s="147" t="n">
        <v>1</v>
      </c>
      <c r="AI53" s="150" t="n">
        <v>1</v>
      </c>
      <c r="AJ53" s="154" t="n">
        <v>0</v>
      </c>
      <c r="AK53" s="152" t="n">
        <v>2</v>
      </c>
      <c r="AL53" s="156" t="n">
        <v>0</v>
      </c>
      <c r="AM53" s="160" t="n">
        <v>0</v>
      </c>
      <c r="AN53" s="163" t="n">
        <v>0</v>
      </c>
      <c r="AO53" s="163" t="n">
        <v>0</v>
      </c>
      <c r="AP53" s="165" t="n">
        <v>1</v>
      </c>
      <c r="AQ53" s="168" t="n">
        <v>2</v>
      </c>
      <c r="AR53" s="171" t="n">
        <v>1</v>
      </c>
      <c r="AS53" s="174" t="n">
        <v>2</v>
      </c>
      <c r="AT53" s="177" t="n">
        <v>1</v>
      </c>
      <c r="AU53" s="177" t="n">
        <v>1</v>
      </c>
      <c r="AV53" s="180" t="n">
        <v>1</v>
      </c>
      <c r="AW53" s="183" t="n">
        <v>0</v>
      </c>
      <c r="AX53" s="184" t="n">
        <v>1</v>
      </c>
      <c r="AY53" s="187" t="n">
        <v>0</v>
      </c>
      <c r="AZ53" s="190" t="n">
        <v>1</v>
      </c>
      <c r="BA53" s="191" t="n">
        <v>1</v>
      </c>
      <c r="BB53" s="194" t="n">
        <v>2</v>
      </c>
      <c r="BC53" s="199" t="n">
        <v>0</v>
      </c>
      <c r="BD53" s="201" t="n">
        <v>1</v>
      </c>
      <c r="BE53" s="204" t="n">
        <v>1</v>
      </c>
      <c r="BF53" s="205" t="n">
        <v>0</v>
      </c>
      <c r="BG53" s="207" t="n">
        <v>1</v>
      </c>
      <c r="BH53" s="211" t="n">
        <v>-1</v>
      </c>
      <c r="BI53" s="211" t="n">
        <v>0</v>
      </c>
      <c r="BJ53" s="210" t="n">
        <v>1</v>
      </c>
      <c r="BK53" s="211" t="n">
        <v>-1</v>
      </c>
      <c r="BL53" s="211" t="n">
        <v>0</v>
      </c>
      <c r="BM53" s="211" t="n">
        <v>0</v>
      </c>
      <c r="BN53" s="215" t="n">
        <v>0</v>
      </c>
      <c r="BO53" s="215" t="n">
        <v>0</v>
      </c>
      <c r="BP53" s="215" t="n">
        <v>0</v>
      </c>
      <c r="BQ53" s="215" t="n">
        <v>0</v>
      </c>
    </row>
    <row r="54">
      <c r="A54" s="22">
        <f>"https://open.spotify.com/playlist/" &amp; C54</f>
        <v/>
      </c>
      <c r="B54" s="1" t="inlineStr">
        <is>
          <t>SAVAGE BADDY Workout 2026 🍑💪 | Hot Gym Girly &amp; Fitness Motivation</t>
        </is>
      </c>
      <c r="C54" s="1" t="inlineStr">
        <is>
          <t>1DuMJZsuZ0DGT4xFKj8CQO</t>
        </is>
      </c>
      <c r="D54" s="3" t="n">
        <v>31</v>
      </c>
      <c r="E54" s="21" t="n">
        <v>0</v>
      </c>
      <c r="F54" s="26" t="n">
        <v>1</v>
      </c>
      <c r="G54" s="25" t="n">
        <v>0</v>
      </c>
      <c r="H54" s="28" t="n">
        <v>3</v>
      </c>
      <c r="I54" s="31" t="n">
        <v>1</v>
      </c>
      <c r="J54" s="74" t="n">
        <v>0</v>
      </c>
      <c r="K54" s="76" t="n">
        <v>0</v>
      </c>
      <c r="L54" s="80" t="n">
        <v>0</v>
      </c>
      <c r="M54" s="83" t="n">
        <v>0</v>
      </c>
      <c r="N54" s="86" t="n">
        <v>0</v>
      </c>
      <c r="O54" s="89" t="n">
        <v>1</v>
      </c>
      <c r="P54" s="93" t="n">
        <v>0</v>
      </c>
      <c r="Q54" s="96" t="n">
        <v>0</v>
      </c>
      <c r="R54" s="98" t="n">
        <v>0</v>
      </c>
      <c r="S54" s="102" t="n">
        <v>0</v>
      </c>
      <c r="T54" s="105" t="n">
        <v>0</v>
      </c>
      <c r="U54" s="108" t="n">
        <v>0</v>
      </c>
      <c r="V54" s="111" t="n">
        <v>0</v>
      </c>
      <c r="W54" s="114" t="n">
        <v>0</v>
      </c>
      <c r="X54" s="117" t="n">
        <v>0</v>
      </c>
      <c r="Y54" s="119" t="n">
        <v>1</v>
      </c>
      <c r="Z54" s="121" t="n">
        <v>1</v>
      </c>
      <c r="AA54" s="126" t="n">
        <v>1</v>
      </c>
      <c r="AB54" s="130" t="n">
        <v>0</v>
      </c>
      <c r="AC54" s="132" t="n">
        <v>2</v>
      </c>
      <c r="AD54" s="135" t="n">
        <v>1</v>
      </c>
      <c r="AE54" s="138" t="n">
        <v>0</v>
      </c>
      <c r="AF54" s="142" t="n">
        <v>0</v>
      </c>
      <c r="AG54" s="145" t="n">
        <v>0</v>
      </c>
      <c r="AH54" s="148" t="n">
        <v>0</v>
      </c>
      <c r="AI54" s="151" t="n">
        <v>0</v>
      </c>
      <c r="AJ54" s="154" t="n">
        <v>0</v>
      </c>
      <c r="AK54" s="154" t="n">
        <v>0</v>
      </c>
      <c r="AL54" s="156" t="n">
        <v>0</v>
      </c>
      <c r="AM54" s="160" t="n">
        <v>0</v>
      </c>
      <c r="AN54" s="163" t="n">
        <v>0</v>
      </c>
      <c r="AO54" s="163" t="n">
        <v>0</v>
      </c>
      <c r="AP54" s="166" t="n">
        <v>0</v>
      </c>
      <c r="AQ54" s="169" t="n">
        <v>0</v>
      </c>
      <c r="AR54" s="172" t="n">
        <v>0</v>
      </c>
      <c r="AS54" s="175" t="n">
        <v>0</v>
      </c>
      <c r="AT54" s="178" t="n">
        <v>0</v>
      </c>
      <c r="AU54" s="178" t="n">
        <v>0</v>
      </c>
      <c r="AV54" s="181" t="n">
        <v>0</v>
      </c>
      <c r="AW54" s="183" t="n">
        <v>0</v>
      </c>
      <c r="AX54" s="183" t="n">
        <v>0</v>
      </c>
      <c r="AY54" s="187" t="n">
        <v>0</v>
      </c>
      <c r="AZ54" s="189" t="n">
        <v>0</v>
      </c>
      <c r="BA54" s="192" t="n">
        <v>0</v>
      </c>
      <c r="BB54" s="196" t="n">
        <v>0</v>
      </c>
      <c r="BC54" s="199" t="n">
        <v>0</v>
      </c>
      <c r="BD54" s="202" t="n">
        <v>0</v>
      </c>
      <c r="BE54" s="205" t="n">
        <v>0</v>
      </c>
      <c r="BF54" s="205" t="n">
        <v>0</v>
      </c>
      <c r="BG54" s="208" t="n">
        <v>0</v>
      </c>
      <c r="BH54" s="211" t="n">
        <v>0</v>
      </c>
      <c r="BI54" s="211" t="n">
        <v>0</v>
      </c>
      <c r="BJ54" s="211" t="n">
        <v>0</v>
      </c>
      <c r="BK54" s="211" t="n">
        <v>0</v>
      </c>
      <c r="BL54" s="211" t="n">
        <v>0</v>
      </c>
      <c r="BM54" s="211" t="n">
        <v>0</v>
      </c>
      <c r="BN54" s="215" t="n">
        <v>0</v>
      </c>
      <c r="BO54" s="215" t="n">
        <v>0</v>
      </c>
      <c r="BP54" s="215" t="n">
        <v>0</v>
      </c>
      <c r="BQ54" s="215" t="n">
        <v>0</v>
      </c>
    </row>
    <row r="55">
      <c r="A55" s="22">
        <f>"https://open.spotify.com/playlist/" &amp; C55</f>
        <v/>
      </c>
      <c r="B55" s="1" t="inlineStr">
        <is>
          <t>DEEP Studying for Exams 📚 | Focus Music | Study Playlist | Concentration Tracks</t>
        </is>
      </c>
      <c r="C55" s="1" t="inlineStr">
        <is>
          <t>58kG3TfazVtdXiEvHv0Jq2</t>
        </is>
      </c>
      <c r="D55" s="3" t="n">
        <v>120</v>
      </c>
      <c r="E55" s="21" t="n">
        <v>0</v>
      </c>
      <c r="F55" s="26" t="n">
        <v>1</v>
      </c>
      <c r="G55" s="25" t="n">
        <v>-1</v>
      </c>
      <c r="H55" s="28" t="n">
        <v>2</v>
      </c>
      <c r="I55" s="31" t="n">
        <v>1</v>
      </c>
      <c r="J55" s="73" t="n">
        <v>2</v>
      </c>
      <c r="K55" s="76" t="n">
        <v>0</v>
      </c>
      <c r="L55" s="78" t="n">
        <v>4</v>
      </c>
      <c r="M55" s="82" t="n">
        <v>1</v>
      </c>
      <c r="N55" s="85" t="n">
        <v>1</v>
      </c>
      <c r="O55" s="89" t="n">
        <v>2</v>
      </c>
      <c r="P55" s="92" t="n">
        <v>2</v>
      </c>
      <c r="Q55" s="95" t="n">
        <v>2</v>
      </c>
      <c r="R55" s="99" t="n">
        <v>1</v>
      </c>
      <c r="S55" s="101" t="n">
        <v>2</v>
      </c>
      <c r="T55" s="103" t="n">
        <v>5</v>
      </c>
      <c r="U55" s="107" t="n">
        <v>3</v>
      </c>
      <c r="V55" s="110" t="n">
        <v>1</v>
      </c>
      <c r="W55" s="114" t="n">
        <v>0</v>
      </c>
      <c r="X55" s="116" t="n">
        <v>1</v>
      </c>
      <c r="Y55" s="120" t="n">
        <v>0</v>
      </c>
      <c r="Z55" s="121" t="n">
        <v>2</v>
      </c>
      <c r="AA55" s="127" t="n">
        <v>-1</v>
      </c>
      <c r="AB55" s="129" t="n">
        <v>2</v>
      </c>
      <c r="AC55" s="131" t="n">
        <v>4</v>
      </c>
      <c r="AD55" s="136" t="n">
        <v>0</v>
      </c>
      <c r="AE55" s="139" t="n">
        <v>1</v>
      </c>
      <c r="AF55" s="141" t="n">
        <v>2</v>
      </c>
      <c r="AG55" s="144" t="n">
        <v>2</v>
      </c>
      <c r="AH55" s="147" t="n">
        <v>1</v>
      </c>
      <c r="AI55" s="150" t="n">
        <v>1</v>
      </c>
      <c r="AJ55" s="153" t="n">
        <v>6</v>
      </c>
      <c r="AK55" s="152" t="n">
        <v>2</v>
      </c>
      <c r="AL55" s="156" t="n">
        <v>0</v>
      </c>
      <c r="AM55" s="159" t="n">
        <v>2</v>
      </c>
      <c r="AN55" s="161" t="n">
        <v>3</v>
      </c>
      <c r="AO55" s="161" t="n">
        <v>2</v>
      </c>
      <c r="AP55" s="165" t="n">
        <v>1</v>
      </c>
      <c r="AQ55" s="167" t="n">
        <v>4</v>
      </c>
      <c r="AR55" s="170" t="n">
        <v>4</v>
      </c>
      <c r="AS55" s="174" t="n">
        <v>1</v>
      </c>
      <c r="AT55" s="177" t="n">
        <v>1</v>
      </c>
      <c r="AU55" s="177" t="n">
        <v>2</v>
      </c>
      <c r="AV55" s="179" t="n">
        <v>6</v>
      </c>
      <c r="AW55" s="184" t="n">
        <v>1</v>
      </c>
      <c r="AX55" s="184" t="n">
        <v>1</v>
      </c>
      <c r="AY55" s="186" t="n">
        <v>2</v>
      </c>
      <c r="AZ55" s="189" t="n">
        <v>0</v>
      </c>
      <c r="BA55" s="191" t="n">
        <v>1</v>
      </c>
      <c r="BB55" s="194" t="n">
        <v>1</v>
      </c>
      <c r="BC55" s="198" t="n">
        <v>1</v>
      </c>
      <c r="BD55" s="201" t="n">
        <v>3</v>
      </c>
      <c r="BE55" s="204" t="n">
        <v>1</v>
      </c>
      <c r="BF55" s="204" t="n">
        <v>1</v>
      </c>
      <c r="BG55" s="207" t="n">
        <v>3</v>
      </c>
      <c r="BH55" s="211" t="n">
        <v>0</v>
      </c>
      <c r="BI55" s="210" t="n">
        <v>2</v>
      </c>
      <c r="BJ55" s="210" t="n">
        <v>2</v>
      </c>
      <c r="BK55" s="210" t="n">
        <v>1</v>
      </c>
      <c r="BL55" s="211" t="n">
        <v>-1</v>
      </c>
      <c r="BM55" s="211" t="n">
        <v>0</v>
      </c>
      <c r="BN55" s="215" t="n">
        <v>0</v>
      </c>
      <c r="BO55" s="214" t="n">
        <v>2</v>
      </c>
      <c r="BP55" s="215" t="n">
        <v>0</v>
      </c>
      <c r="BQ55" s="214" t="n">
        <v>2</v>
      </c>
    </row>
    <row r="56">
      <c r="A56" s="22">
        <f>"https://open.spotify.com/playlist/" &amp; C56</f>
        <v/>
      </c>
      <c r="B56" s="1" t="inlineStr">
        <is>
          <t>Workout 2026 | High Energy Exercise Music, Cardio Playlist &amp; Dance Hits 🔥💪</t>
        </is>
      </c>
      <c r="C56" s="1" t="inlineStr">
        <is>
          <t>2jxehQFsAmztMo6ifDnTxs</t>
        </is>
      </c>
      <c r="D56" s="3" t="n">
        <v>54</v>
      </c>
      <c r="E56" s="21" t="n">
        <v>0</v>
      </c>
      <c r="F56" s="25" t="n">
        <v>0</v>
      </c>
      <c r="G56" s="26" t="n">
        <v>3</v>
      </c>
      <c r="H56" s="29" t="n">
        <v>0</v>
      </c>
      <c r="I56" s="31" t="n">
        <v>2</v>
      </c>
      <c r="J56" s="73" t="n">
        <v>2</v>
      </c>
      <c r="K56" s="77" t="n">
        <v>1</v>
      </c>
      <c r="L56" s="79" t="n">
        <v>3</v>
      </c>
      <c r="M56" s="83" t="n">
        <v>0</v>
      </c>
      <c r="N56" s="85" t="n">
        <v>2</v>
      </c>
      <c r="O56" s="89" t="n">
        <v>2</v>
      </c>
      <c r="P56" s="91" t="n">
        <v>4</v>
      </c>
      <c r="Q56" s="96" t="n">
        <v>0</v>
      </c>
      <c r="R56" s="98" t="n">
        <v>0</v>
      </c>
      <c r="S56" s="101" t="n">
        <v>2</v>
      </c>
      <c r="T56" s="104" t="n">
        <v>2</v>
      </c>
      <c r="U56" s="107" t="n">
        <v>1</v>
      </c>
      <c r="V56" s="110" t="n">
        <v>1</v>
      </c>
      <c r="W56" s="114" t="n">
        <v>0</v>
      </c>
      <c r="X56" s="116" t="n">
        <v>1</v>
      </c>
      <c r="Y56" s="120" t="n">
        <v>0</v>
      </c>
      <c r="Z56" s="123" t="n">
        <v>0</v>
      </c>
      <c r="AA56" s="127" t="n">
        <v>0</v>
      </c>
      <c r="AB56" s="130" t="n">
        <v>0</v>
      </c>
      <c r="AC56" s="133" t="n">
        <v>0</v>
      </c>
      <c r="AD56" s="135" t="n">
        <v>2</v>
      </c>
      <c r="AE56" s="139" t="n">
        <v>2</v>
      </c>
      <c r="AF56" s="141" t="n">
        <v>1</v>
      </c>
      <c r="AG56" s="144" t="n">
        <v>1</v>
      </c>
      <c r="AH56" s="148" t="n">
        <v>0</v>
      </c>
      <c r="AI56" s="150" t="n">
        <v>1</v>
      </c>
      <c r="AJ56" s="152" t="n">
        <v>1</v>
      </c>
      <c r="AK56" s="154" t="n">
        <v>0</v>
      </c>
      <c r="AL56" s="156" t="n">
        <v>0</v>
      </c>
      <c r="AM56" s="160" t="n">
        <v>0</v>
      </c>
      <c r="AN56" s="163" t="n">
        <v>0</v>
      </c>
      <c r="AO56" s="163" t="n">
        <v>0</v>
      </c>
      <c r="AP56" s="165" t="n">
        <v>2</v>
      </c>
      <c r="AQ56" s="169" t="n">
        <v>0</v>
      </c>
      <c r="AR56" s="172" t="n">
        <v>-1</v>
      </c>
      <c r="AS56" s="175" t="n">
        <v>0</v>
      </c>
      <c r="AT56" s="178" t="n">
        <v>0</v>
      </c>
      <c r="AU56" s="178" t="n">
        <v>0</v>
      </c>
      <c r="AV56" s="181" t="n">
        <v>0</v>
      </c>
      <c r="AW56" s="183" t="n">
        <v>0</v>
      </c>
      <c r="AX56" s="183" t="n">
        <v>0</v>
      </c>
      <c r="AY56" s="187" t="n">
        <v>-1</v>
      </c>
      <c r="AZ56" s="189" t="n">
        <v>0</v>
      </c>
      <c r="BA56" s="192" t="n">
        <v>0</v>
      </c>
      <c r="BB56" s="196" t="n">
        <v>0</v>
      </c>
      <c r="BC56" s="199" t="n">
        <v>0</v>
      </c>
      <c r="BD56" s="201" t="n">
        <v>1</v>
      </c>
      <c r="BE56" s="205" t="n">
        <v>0</v>
      </c>
      <c r="BF56" s="205" t="n">
        <v>0</v>
      </c>
      <c r="BG56" s="207" t="n">
        <v>1</v>
      </c>
      <c r="BH56" s="211" t="n">
        <v>0</v>
      </c>
      <c r="BI56" s="211" t="n">
        <v>0</v>
      </c>
      <c r="BJ56" s="211" t="n">
        <v>0</v>
      </c>
      <c r="BK56" s="211" t="n">
        <v>0</v>
      </c>
      <c r="BL56" s="211" t="n">
        <v>0</v>
      </c>
      <c r="BM56" s="211" t="n">
        <v>-1</v>
      </c>
      <c r="BN56" s="214" t="n">
        <v>1</v>
      </c>
      <c r="BO56" s="215" t="n">
        <v>0</v>
      </c>
      <c r="BP56" s="215" t="n">
        <v>0</v>
      </c>
      <c r="BQ56" s="215" t="n">
        <v>0</v>
      </c>
    </row>
    <row r="57">
      <c r="A57" s="22">
        <f>"https://open.spotify.com/playlist/" &amp; C57</f>
        <v/>
      </c>
      <c r="B57" s="1" t="inlineStr">
        <is>
          <t>Gym Bangers 2026 | Hard Workout Hits, High Energy &amp; Training Motivation 🔥💥</t>
        </is>
      </c>
      <c r="C57" s="1" t="inlineStr">
        <is>
          <t>641VsCtWb3iEJ50ei2hrsi</t>
        </is>
      </c>
      <c r="D57" s="3" t="n">
        <v>176</v>
      </c>
      <c r="E57" s="21" t="n">
        <v>0</v>
      </c>
      <c r="F57" s="26" t="n">
        <v>1</v>
      </c>
      <c r="G57" s="26" t="n">
        <v>1</v>
      </c>
      <c r="H57" s="28" t="n">
        <v>3</v>
      </c>
      <c r="I57" s="31" t="n">
        <v>2</v>
      </c>
      <c r="J57" s="73" t="n">
        <v>3</v>
      </c>
      <c r="K57" s="76" t="n">
        <v>0</v>
      </c>
      <c r="L57" s="79" t="n">
        <v>2</v>
      </c>
      <c r="M57" s="82" t="n">
        <v>2</v>
      </c>
      <c r="N57" s="86" t="n">
        <v>0</v>
      </c>
      <c r="O57" s="89" t="n">
        <v>3</v>
      </c>
      <c r="P57" s="92" t="n">
        <v>2</v>
      </c>
      <c r="Q57" s="95" t="n">
        <v>1</v>
      </c>
      <c r="R57" s="98" t="n">
        <v>0</v>
      </c>
      <c r="S57" s="101" t="n">
        <v>2</v>
      </c>
      <c r="T57" s="104" t="n">
        <v>3</v>
      </c>
      <c r="U57" s="106" t="n">
        <v>4</v>
      </c>
      <c r="V57" s="109" t="n">
        <v>8</v>
      </c>
      <c r="W57" s="113" t="n">
        <v>3</v>
      </c>
      <c r="X57" s="116" t="n">
        <v>3</v>
      </c>
      <c r="Y57" s="119" t="n">
        <v>3</v>
      </c>
      <c r="Z57" s="121" t="n">
        <v>3</v>
      </c>
      <c r="AA57" s="125" t="n">
        <v>4</v>
      </c>
      <c r="AB57" s="129" t="n">
        <v>1</v>
      </c>
      <c r="AC57" s="132" t="n">
        <v>2</v>
      </c>
      <c r="AD57" s="135" t="n">
        <v>1</v>
      </c>
      <c r="AE57" s="139" t="n">
        <v>1</v>
      </c>
      <c r="AF57" s="140" t="n">
        <v>4</v>
      </c>
      <c r="AG57" s="144" t="n">
        <v>3</v>
      </c>
      <c r="AH57" s="147" t="n">
        <v>3</v>
      </c>
      <c r="AI57" s="150" t="n">
        <v>3</v>
      </c>
      <c r="AJ57" s="152" t="n">
        <v>2</v>
      </c>
      <c r="AK57" s="152" t="n">
        <v>3</v>
      </c>
      <c r="AL57" s="157" t="n">
        <v>2</v>
      </c>
      <c r="AM57" s="159" t="n">
        <v>3</v>
      </c>
      <c r="AN57" s="162" t="n">
        <v>1</v>
      </c>
      <c r="AO57" s="162" t="n">
        <v>0</v>
      </c>
      <c r="AP57" s="165" t="n">
        <v>2</v>
      </c>
      <c r="AQ57" s="168" t="n">
        <v>1</v>
      </c>
      <c r="AR57" s="171" t="n">
        <v>1</v>
      </c>
      <c r="AS57" s="174" t="n">
        <v>2</v>
      </c>
      <c r="AT57" s="177" t="n">
        <v>1</v>
      </c>
      <c r="AU57" s="177" t="n">
        <v>2</v>
      </c>
      <c r="AV57" s="180" t="n">
        <v>2</v>
      </c>
      <c r="AW57" s="182" t="n">
        <v>4</v>
      </c>
      <c r="AX57" s="182" t="n">
        <v>4</v>
      </c>
      <c r="AY57" s="186" t="n">
        <v>2</v>
      </c>
      <c r="AZ57" s="190" t="n">
        <v>2</v>
      </c>
      <c r="BA57" s="191" t="n">
        <v>3</v>
      </c>
      <c r="BB57" s="194" t="n">
        <v>2</v>
      </c>
      <c r="BC57" s="199" t="n">
        <v>0</v>
      </c>
      <c r="BD57" s="202" t="n">
        <v>0</v>
      </c>
      <c r="BE57" s="203" t="n">
        <v>4</v>
      </c>
      <c r="BF57" s="203" t="n">
        <v>4</v>
      </c>
      <c r="BG57" s="206" t="n">
        <v>5</v>
      </c>
      <c r="BH57" s="210" t="n">
        <v>2</v>
      </c>
      <c r="BI57" s="209" t="n">
        <v>4</v>
      </c>
      <c r="BJ57" s="210" t="n">
        <v>2</v>
      </c>
      <c r="BK57" s="210" t="n">
        <v>3</v>
      </c>
      <c r="BL57" s="210" t="n">
        <v>3</v>
      </c>
      <c r="BM57" s="209" t="n">
        <v>5</v>
      </c>
      <c r="BN57" s="214" t="n">
        <v>2</v>
      </c>
      <c r="BO57" s="214" t="n">
        <v>3</v>
      </c>
      <c r="BP57" s="214" t="n">
        <v>2</v>
      </c>
      <c r="BQ57" s="216" t="n">
        <v>8</v>
      </c>
    </row>
    <row r="58">
      <c r="A58" s="22">
        <f>"https://open.spotify.com/playlist/" &amp; C58</f>
        <v/>
      </c>
      <c r="B58" s="1" t="inlineStr">
        <is>
          <t>ELEGANTE Música Restaurante de Lujo 🥂 | Playlist Cena | Música de Fondo | Ambiente Sofisticado</t>
        </is>
      </c>
      <c r="C58" s="1" t="inlineStr">
        <is>
          <t>4VGdqzzt7eDqq7XeZwURGQ</t>
        </is>
      </c>
      <c r="D58" s="3" t="n">
        <v>25</v>
      </c>
      <c r="E58" s="21" t="n">
        <v>0</v>
      </c>
      <c r="F58" s="25" t="n">
        <v>-1</v>
      </c>
      <c r="G58" s="25" t="n">
        <v>-1</v>
      </c>
      <c r="H58" s="28" t="n">
        <v>3</v>
      </c>
      <c r="I58" s="31" t="n">
        <v>1</v>
      </c>
      <c r="J58" s="74" t="n">
        <v>0</v>
      </c>
      <c r="K58" s="76" t="n">
        <v>0</v>
      </c>
      <c r="L58" s="80" t="n">
        <v>0</v>
      </c>
      <c r="M58" s="83" t="n">
        <v>0</v>
      </c>
      <c r="N58" s="86" t="n">
        <v>0</v>
      </c>
      <c r="O58" s="89" t="n">
        <v>1</v>
      </c>
      <c r="P58" s="93" t="n">
        <v>0</v>
      </c>
      <c r="Q58" s="96" t="n">
        <v>0</v>
      </c>
      <c r="R58" s="98" t="n">
        <v>0</v>
      </c>
      <c r="S58" s="102" t="n">
        <v>0</v>
      </c>
      <c r="T58" s="105" t="n">
        <v>0</v>
      </c>
      <c r="U58" s="108" t="n">
        <v>0</v>
      </c>
      <c r="V58" s="111" t="n">
        <v>0</v>
      </c>
      <c r="W58" s="114" t="n">
        <v>0</v>
      </c>
      <c r="X58" s="116" t="n">
        <v>1</v>
      </c>
      <c r="Y58" s="120" t="n">
        <v>0</v>
      </c>
      <c r="Z58" s="123" t="n">
        <v>-1</v>
      </c>
      <c r="AA58" s="126" t="n">
        <v>1</v>
      </c>
      <c r="AB58" s="129" t="n">
        <v>1</v>
      </c>
      <c r="AC58" s="133" t="n">
        <v>0</v>
      </c>
      <c r="AD58" s="136" t="n">
        <v>0</v>
      </c>
      <c r="AE58" s="138" t="n">
        <v>0</v>
      </c>
      <c r="AF58" s="141" t="n">
        <v>2</v>
      </c>
      <c r="AG58" s="145" t="n">
        <v>0</v>
      </c>
      <c r="AH58" s="148" t="n">
        <v>0</v>
      </c>
      <c r="AI58" s="151" t="n">
        <v>0</v>
      </c>
      <c r="AJ58" s="154" t="n">
        <v>0</v>
      </c>
      <c r="AK58" s="154" t="n">
        <v>0</v>
      </c>
      <c r="AL58" s="156" t="n">
        <v>0</v>
      </c>
      <c r="AM58" s="160" t="n">
        <v>0</v>
      </c>
      <c r="AN58" s="163" t="n">
        <v>0</v>
      </c>
      <c r="AO58" s="163" t="n">
        <v>0</v>
      </c>
      <c r="AP58" s="166" t="n">
        <v>0</v>
      </c>
      <c r="AQ58" s="169" t="n">
        <v>0</v>
      </c>
      <c r="AR58" s="172" t="n">
        <v>0</v>
      </c>
      <c r="AS58" s="175" t="n">
        <v>0</v>
      </c>
      <c r="AT58" s="178" t="n">
        <v>0</v>
      </c>
      <c r="AU58" s="178" t="n">
        <v>0</v>
      </c>
      <c r="AV58" s="181" t="n">
        <v>0</v>
      </c>
      <c r="AW58" s="183" t="n">
        <v>0</v>
      </c>
      <c r="AX58" s="183" t="n">
        <v>0</v>
      </c>
      <c r="AY58" s="186" t="n">
        <v>1</v>
      </c>
      <c r="AZ58" s="189" t="n">
        <v>-1</v>
      </c>
      <c r="BA58" s="192" t="n">
        <v>0</v>
      </c>
      <c r="BB58" s="196" t="n">
        <v>0</v>
      </c>
      <c r="BC58" s="199" t="n">
        <v>0</v>
      </c>
      <c r="BD58" s="202" t="n">
        <v>0</v>
      </c>
      <c r="BE58" s="205" t="n">
        <v>0</v>
      </c>
      <c r="BF58" s="205" t="n">
        <v>0</v>
      </c>
      <c r="BG58" s="208" t="n">
        <v>0</v>
      </c>
      <c r="BH58" s="211" t="n">
        <v>0</v>
      </c>
      <c r="BI58" s="211" t="n">
        <v>0</v>
      </c>
      <c r="BJ58" s="211" t="n">
        <v>0</v>
      </c>
      <c r="BK58" s="211" t="n">
        <v>0</v>
      </c>
      <c r="BL58" s="211" t="n">
        <v>0</v>
      </c>
      <c r="BM58" s="211" t="n">
        <v>0</v>
      </c>
      <c r="BN58" s="215" t="n">
        <v>0</v>
      </c>
      <c r="BO58" s="215" t="n">
        <v>0</v>
      </c>
      <c r="BP58" s="215" t="n">
        <v>0</v>
      </c>
      <c r="BQ58" s="215" t="n">
        <v>0</v>
      </c>
    </row>
    <row r="59">
      <c r="A59" s="22">
        <f>"https://open.spotify.com/playlist/" &amp; C59</f>
        <v/>
      </c>
      <c r="B59" s="1" t="inlineStr">
        <is>
          <t>Best Dub Techno Ever | Deep Dub Techno, Atmospheric Techno, Minimal &amp; Hypnotic Beats 2026 🌫️🔊</t>
        </is>
      </c>
      <c r="C59" s="1" t="inlineStr">
        <is>
          <t>157mfZc85ld92FAPNswQzm</t>
        </is>
      </c>
      <c r="D59" s="3" t="n">
        <v>39</v>
      </c>
      <c r="E59" s="21" t="n">
        <v>0</v>
      </c>
      <c r="F59" s="26" t="n">
        <v>2</v>
      </c>
      <c r="G59" s="25" t="n">
        <v>0</v>
      </c>
      <c r="H59" s="29" t="n">
        <v>0</v>
      </c>
      <c r="I59" s="32" t="n">
        <v>0</v>
      </c>
      <c r="J59" s="73" t="n">
        <v>2</v>
      </c>
      <c r="K59" s="77" t="n">
        <v>1</v>
      </c>
      <c r="L59" s="79" t="n">
        <v>3</v>
      </c>
      <c r="M59" s="83" t="n">
        <v>-1</v>
      </c>
      <c r="N59" s="85" t="n">
        <v>2</v>
      </c>
      <c r="O59" s="90" t="n">
        <v>0</v>
      </c>
      <c r="P59" s="92" t="n">
        <v>3</v>
      </c>
      <c r="Q59" s="95" t="n">
        <v>1</v>
      </c>
      <c r="R59" s="99" t="n">
        <v>1</v>
      </c>
      <c r="S59" s="101" t="n">
        <v>1</v>
      </c>
      <c r="T59" s="104" t="n">
        <v>1</v>
      </c>
      <c r="U59" s="107" t="n">
        <v>3</v>
      </c>
      <c r="V59" s="111" t="n">
        <v>-1</v>
      </c>
      <c r="W59" s="114" t="n">
        <v>0</v>
      </c>
      <c r="X59" s="116" t="n">
        <v>1</v>
      </c>
      <c r="Y59" s="119" t="n">
        <v>1</v>
      </c>
      <c r="Z59" s="123" t="n">
        <v>0</v>
      </c>
      <c r="AA59" s="127" t="n">
        <v>0</v>
      </c>
      <c r="AB59" s="130" t="n">
        <v>0</v>
      </c>
      <c r="AC59" s="133" t="n">
        <v>0</v>
      </c>
      <c r="AD59" s="136" t="n">
        <v>0</v>
      </c>
      <c r="AE59" s="138" t="n">
        <v>0</v>
      </c>
      <c r="AF59" s="142" t="n">
        <v>0</v>
      </c>
      <c r="AG59" s="144" t="n">
        <v>1</v>
      </c>
      <c r="AH59" s="148" t="n">
        <v>0</v>
      </c>
      <c r="AI59" s="150" t="n">
        <v>1</v>
      </c>
      <c r="AJ59" s="154" t="n">
        <v>-1</v>
      </c>
      <c r="AK59" s="152" t="n">
        <v>1</v>
      </c>
      <c r="AL59" s="157" t="n">
        <v>1</v>
      </c>
      <c r="AM59" s="160" t="n">
        <v>0</v>
      </c>
      <c r="AN59" s="162" t="n">
        <v>1</v>
      </c>
      <c r="AO59" s="162" t="n">
        <v>0</v>
      </c>
      <c r="AP59" s="166" t="n">
        <v>0</v>
      </c>
      <c r="AQ59" s="169" t="n">
        <v>0</v>
      </c>
      <c r="AR59" s="172" t="n">
        <v>0</v>
      </c>
      <c r="AS59" s="174" t="n">
        <v>1</v>
      </c>
      <c r="AT59" s="178" t="n">
        <v>0</v>
      </c>
      <c r="AU59" s="178" t="n">
        <v>0</v>
      </c>
      <c r="AV59" s="181" t="n">
        <v>0</v>
      </c>
      <c r="AW59" s="183" t="n">
        <v>0</v>
      </c>
      <c r="AX59" s="183" t="n">
        <v>0</v>
      </c>
      <c r="AY59" s="187" t="n">
        <v>0</v>
      </c>
      <c r="AZ59" s="189" t="n">
        <v>0</v>
      </c>
      <c r="BA59" s="192" t="n">
        <v>0</v>
      </c>
      <c r="BB59" s="196" t="n">
        <v>0</v>
      </c>
      <c r="BC59" s="199" t="n">
        <v>0</v>
      </c>
      <c r="BD59" s="202" t="n">
        <v>0</v>
      </c>
      <c r="BE59" s="205" t="n">
        <v>0</v>
      </c>
      <c r="BF59" s="205" t="n">
        <v>0</v>
      </c>
      <c r="BG59" s="208" t="n">
        <v>0</v>
      </c>
      <c r="BH59" s="211" t="n">
        <v>0</v>
      </c>
      <c r="BI59" s="211" t="n">
        <v>0</v>
      </c>
      <c r="BJ59" s="211" t="n">
        <v>-1</v>
      </c>
      <c r="BK59" s="211" t="n">
        <v>0</v>
      </c>
      <c r="BL59" s="211" t="n">
        <v>0</v>
      </c>
      <c r="BM59" s="210" t="n">
        <v>1</v>
      </c>
      <c r="BN59" s="215" t="n">
        <v>0</v>
      </c>
      <c r="BO59" s="215" t="n">
        <v>0</v>
      </c>
      <c r="BP59" s="215" t="n">
        <v>0</v>
      </c>
      <c r="BQ59" s="215" t="n">
        <v>0</v>
      </c>
    </row>
    <row r="60">
      <c r="A60" s="22">
        <f>"https://open.spotify.com/playlist/" &amp; C60</f>
        <v/>
      </c>
      <c r="B60" s="1" t="inlineStr">
        <is>
          <t>Shaolin Meditation | Zen Focus, Martial Arts Calm, Deep Inner Balance 2026 🧘‍♀️</t>
        </is>
      </c>
      <c r="C60" s="1" t="inlineStr">
        <is>
          <t>1YQJfnMgKGfZKZmFnJN8nK</t>
        </is>
      </c>
      <c r="D60" s="3" t="n">
        <v>109</v>
      </c>
      <c r="E60" s="21" t="n">
        <v>0</v>
      </c>
      <c r="F60" s="25" t="n">
        <v>0</v>
      </c>
      <c r="G60" s="25" t="n">
        <v>0</v>
      </c>
      <c r="H60" s="29" t="n">
        <v>0</v>
      </c>
      <c r="I60" s="31" t="n">
        <v>1</v>
      </c>
      <c r="J60" s="73" t="n">
        <v>1</v>
      </c>
      <c r="K60" s="77" t="n">
        <v>3</v>
      </c>
      <c r="L60" s="79" t="n">
        <v>2</v>
      </c>
      <c r="M60" s="83" t="n">
        <v>0</v>
      </c>
      <c r="N60" s="84" t="n">
        <v>4</v>
      </c>
      <c r="O60" s="89" t="n">
        <v>1</v>
      </c>
      <c r="P60" s="91" t="n">
        <v>4</v>
      </c>
      <c r="Q60" s="95" t="n">
        <v>3</v>
      </c>
      <c r="R60" s="99" t="n">
        <v>1</v>
      </c>
      <c r="S60" s="100" t="n">
        <v>5</v>
      </c>
      <c r="T60" s="103" t="n">
        <v>4</v>
      </c>
      <c r="U60" s="107" t="n">
        <v>1</v>
      </c>
      <c r="V60" s="109" t="n">
        <v>4</v>
      </c>
      <c r="W60" s="113" t="n">
        <v>2</v>
      </c>
      <c r="X60" s="117" t="n">
        <v>0</v>
      </c>
      <c r="Y60" s="120" t="n">
        <v>0</v>
      </c>
      <c r="Z60" s="123" t="n">
        <v>0</v>
      </c>
      <c r="AA60" s="126" t="n">
        <v>1</v>
      </c>
      <c r="AB60" s="129" t="n">
        <v>1</v>
      </c>
      <c r="AC60" s="133" t="n">
        <v>0</v>
      </c>
      <c r="AD60" s="135" t="n">
        <v>1</v>
      </c>
      <c r="AE60" s="139" t="n">
        <v>1</v>
      </c>
      <c r="AF60" s="141" t="n">
        <v>1</v>
      </c>
      <c r="AG60" s="144" t="n">
        <v>1</v>
      </c>
      <c r="AH60" s="148" t="n">
        <v>0</v>
      </c>
      <c r="AI60" s="149" t="n">
        <v>4</v>
      </c>
      <c r="AJ60" s="154" t="n">
        <v>0</v>
      </c>
      <c r="AK60" s="154" t="n">
        <v>-1</v>
      </c>
      <c r="AL60" s="157" t="n">
        <v>1</v>
      </c>
      <c r="AM60" s="159" t="n">
        <v>2</v>
      </c>
      <c r="AN60" s="162" t="n">
        <v>2</v>
      </c>
      <c r="AO60" s="162" t="n">
        <v>1</v>
      </c>
      <c r="AP60" s="165" t="n">
        <v>3</v>
      </c>
      <c r="AQ60" s="168" t="n">
        <v>1</v>
      </c>
      <c r="AR60" s="172" t="n">
        <v>0</v>
      </c>
      <c r="AS60" s="175" t="n">
        <v>-1</v>
      </c>
      <c r="AT60" s="177" t="n">
        <v>3</v>
      </c>
      <c r="AU60" s="178" t="n">
        <v>-1</v>
      </c>
      <c r="AV60" s="180" t="n">
        <v>2</v>
      </c>
      <c r="AW60" s="184" t="n">
        <v>2</v>
      </c>
      <c r="AX60" s="183" t="n">
        <v>0</v>
      </c>
      <c r="AY60" s="186" t="n">
        <v>1</v>
      </c>
      <c r="AZ60" s="188" t="n">
        <v>4</v>
      </c>
      <c r="BA60" s="191" t="n">
        <v>1</v>
      </c>
      <c r="BB60" s="194" t="n">
        <v>3</v>
      </c>
      <c r="BC60" s="197" t="n">
        <v>4</v>
      </c>
      <c r="BD60" s="202" t="n">
        <v>0</v>
      </c>
      <c r="BE60" s="205" t="n">
        <v>0</v>
      </c>
      <c r="BF60" s="204" t="n">
        <v>1</v>
      </c>
      <c r="BG60" s="207" t="n">
        <v>2</v>
      </c>
      <c r="BH60" s="210" t="n">
        <v>2</v>
      </c>
      <c r="BI60" s="209" t="n">
        <v>7</v>
      </c>
      <c r="BJ60" s="210" t="n">
        <v>3</v>
      </c>
      <c r="BK60" s="210" t="n">
        <v>1</v>
      </c>
      <c r="BL60" s="210" t="n">
        <v>1</v>
      </c>
      <c r="BM60" s="210" t="n">
        <v>2</v>
      </c>
      <c r="BN60" s="215" t="n">
        <v>0</v>
      </c>
      <c r="BO60" s="214" t="n">
        <v>2</v>
      </c>
      <c r="BP60" s="214" t="n">
        <v>2</v>
      </c>
      <c r="BQ60" s="214" t="n">
        <v>1</v>
      </c>
    </row>
    <row r="61">
      <c r="A61" s="22">
        <f>"https://open.spotify.com/playlist/" &amp; C61</f>
        <v/>
      </c>
      <c r="B61" s="1" t="inlineStr">
        <is>
          <t>Ritmo BRUTAL: Cadencia 160-165 | Correr con RITMO 💪 | Música para Correr | Acompasado</t>
        </is>
      </c>
      <c r="C61" s="1" t="inlineStr">
        <is>
          <t>2fYlxq67gy9IzOBPurXCsh</t>
        </is>
      </c>
      <c r="D61" s="3" t="n">
        <v>10</v>
      </c>
      <c r="E61" s="21" t="n">
        <v>0</v>
      </c>
      <c r="F61" s="25" t="n">
        <v>0</v>
      </c>
      <c r="G61" s="25" t="n">
        <v>0</v>
      </c>
      <c r="AN61" t="n">
        <v>0</v>
      </c>
      <c r="AO61" t="n">
        <v>0</v>
      </c>
    </row>
    <row r="62">
      <c r="A62" s="22">
        <f>"https://open.spotify.com/playlist/" &amp; C62</f>
        <v/>
      </c>
      <c r="B62" s="1" t="inlineStr">
        <is>
          <t>8 Hours of Sleep Music | Deep Rest &amp; Relaxation 2026 🎉😌</t>
        </is>
      </c>
      <c r="C62" s="1" t="inlineStr">
        <is>
          <t>5x0ObIoVtv3EPgJ3x7hAsO</t>
        </is>
      </c>
      <c r="D62" s="3" t="n">
        <v>54</v>
      </c>
      <c r="E62" s="21" t="n">
        <v>0</v>
      </c>
      <c r="F62" s="26" t="n">
        <v>1</v>
      </c>
      <c r="G62" s="26" t="n">
        <v>2</v>
      </c>
      <c r="H62" s="28" t="n">
        <v>1</v>
      </c>
      <c r="I62" s="31" t="n">
        <v>2</v>
      </c>
      <c r="J62" s="73" t="n">
        <v>2</v>
      </c>
      <c r="K62" s="76" t="n">
        <v>0</v>
      </c>
      <c r="L62" s="79" t="n">
        <v>1</v>
      </c>
      <c r="M62" s="83" t="n">
        <v>0</v>
      </c>
      <c r="N62" s="85" t="n">
        <v>1</v>
      </c>
      <c r="O62" s="89" t="n">
        <v>1</v>
      </c>
      <c r="P62" s="92" t="n">
        <v>2</v>
      </c>
      <c r="Q62" s="95" t="n">
        <v>1</v>
      </c>
      <c r="R62" s="98" t="n">
        <v>0</v>
      </c>
      <c r="S62" s="102" t="n">
        <v>0</v>
      </c>
      <c r="T62" s="105" t="n">
        <v>0</v>
      </c>
      <c r="U62" s="107" t="n">
        <v>3</v>
      </c>
      <c r="V62" s="111" t="n">
        <v>0</v>
      </c>
      <c r="W62" s="113" t="n">
        <v>1</v>
      </c>
      <c r="X62" s="116" t="n">
        <v>1</v>
      </c>
      <c r="Y62" s="119" t="n">
        <v>1</v>
      </c>
      <c r="Z62" s="123" t="n">
        <v>0</v>
      </c>
      <c r="AA62" s="126" t="n">
        <v>1</v>
      </c>
      <c r="AB62" s="129" t="n">
        <v>1</v>
      </c>
      <c r="AC62" s="132" t="n">
        <v>2</v>
      </c>
      <c r="AD62" s="136" t="n">
        <v>0</v>
      </c>
      <c r="AE62" s="138" t="n">
        <v>0</v>
      </c>
      <c r="AF62" s="141" t="n">
        <v>2</v>
      </c>
      <c r="AG62" s="145" t="n">
        <v>0</v>
      </c>
      <c r="AH62" s="147" t="n">
        <v>1</v>
      </c>
      <c r="AI62" s="150" t="n">
        <v>1</v>
      </c>
      <c r="AJ62" s="154" t="n">
        <v>0</v>
      </c>
      <c r="AK62" s="154" t="n">
        <v>0</v>
      </c>
      <c r="AL62" s="156" t="n">
        <v>0</v>
      </c>
      <c r="AM62" s="159" t="n">
        <v>1</v>
      </c>
      <c r="AN62" s="162" t="n">
        <v>1</v>
      </c>
      <c r="AO62" s="162" t="n">
        <v>0</v>
      </c>
      <c r="AP62" s="166" t="n">
        <v>0</v>
      </c>
      <c r="AQ62" s="168" t="n">
        <v>2</v>
      </c>
      <c r="AR62" s="172" t="n">
        <v>0</v>
      </c>
      <c r="AS62" s="175" t="n">
        <v>0</v>
      </c>
      <c r="AT62" s="177" t="n">
        <v>1</v>
      </c>
      <c r="AU62" s="177" t="n">
        <v>1</v>
      </c>
      <c r="AV62" s="181" t="n">
        <v>0</v>
      </c>
      <c r="AW62" s="183" t="n">
        <v>0</v>
      </c>
      <c r="AX62" s="182" t="n">
        <v>4</v>
      </c>
      <c r="AY62" s="187" t="n">
        <v>0</v>
      </c>
      <c r="AZ62" s="189" t="n">
        <v>0</v>
      </c>
      <c r="BA62" s="192" t="n">
        <v>-1</v>
      </c>
      <c r="BB62" s="194" t="n">
        <v>1</v>
      </c>
      <c r="BC62" s="199" t="n">
        <v>0</v>
      </c>
      <c r="BD62" s="202" t="n">
        <v>0</v>
      </c>
      <c r="BE62" s="204" t="n">
        <v>1</v>
      </c>
      <c r="BF62" s="204" t="n">
        <v>1</v>
      </c>
      <c r="BG62" s="207" t="n">
        <v>1</v>
      </c>
      <c r="BH62" s="211" t="n">
        <v>0</v>
      </c>
      <c r="BI62" s="211" t="n">
        <v>0</v>
      </c>
      <c r="BJ62" s="210" t="n">
        <v>1</v>
      </c>
      <c r="BK62" s="210" t="n">
        <v>1</v>
      </c>
      <c r="BL62" s="211" t="n">
        <v>0</v>
      </c>
      <c r="BM62" s="211" t="n">
        <v>0</v>
      </c>
      <c r="BN62" s="215" t="n">
        <v>0</v>
      </c>
      <c r="BO62" s="215" t="n">
        <v>0</v>
      </c>
      <c r="BP62" s="215" t="n">
        <v>0</v>
      </c>
      <c r="BQ62" s="215" t="n">
        <v>0</v>
      </c>
    </row>
    <row r="63">
      <c r="A63" s="22">
        <f>"https://open.spotify.com/playlist/" &amp; C63</f>
        <v/>
      </c>
      <c r="B63" s="1" t="inlineStr">
        <is>
          <t>INTENSE Cours de SPINNING 160 BPM 🔥 Playlist Spinning Indoor | Musique Cardio Énergique</t>
        </is>
      </c>
      <c r="C63" s="1" t="inlineStr">
        <is>
          <t>59IMOdaJRK3hQa2jtHoUQt</t>
        </is>
      </c>
      <c r="D63" s="3" t="n">
        <v>64</v>
      </c>
      <c r="E63" s="21" t="n">
        <v>0</v>
      </c>
      <c r="F63" s="25" t="n">
        <v>0</v>
      </c>
      <c r="G63" s="25" t="n">
        <v>0</v>
      </c>
      <c r="H63" s="29" t="n">
        <v>0</v>
      </c>
      <c r="I63" s="32" t="n">
        <v>0</v>
      </c>
      <c r="J63" s="74" t="n">
        <v>0</v>
      </c>
      <c r="K63" s="76" t="n">
        <v>0</v>
      </c>
      <c r="L63" s="80" t="n">
        <v>0</v>
      </c>
      <c r="M63" s="83" t="n">
        <v>0</v>
      </c>
      <c r="N63" s="85" t="n">
        <v>1</v>
      </c>
      <c r="O63" s="90" t="n">
        <v>0</v>
      </c>
      <c r="P63" s="92" t="n">
        <v>2</v>
      </c>
      <c r="Q63" s="96" t="n">
        <v>0</v>
      </c>
      <c r="R63" s="99" t="n">
        <v>1</v>
      </c>
      <c r="S63" s="101" t="n">
        <v>3</v>
      </c>
      <c r="T63" s="104" t="n">
        <v>1</v>
      </c>
      <c r="U63" s="107" t="n">
        <v>1</v>
      </c>
      <c r="V63" s="110" t="n">
        <v>2</v>
      </c>
      <c r="W63" s="113" t="n">
        <v>2</v>
      </c>
      <c r="X63" s="115" t="n">
        <v>4</v>
      </c>
      <c r="Y63" s="119" t="n">
        <v>1</v>
      </c>
      <c r="Z63" s="121" t="n">
        <v>3</v>
      </c>
      <c r="AA63" s="127" t="n">
        <v>0</v>
      </c>
      <c r="AB63" s="130" t="n">
        <v>0</v>
      </c>
      <c r="AC63" s="132" t="n">
        <v>1</v>
      </c>
      <c r="AD63" s="135" t="n">
        <v>1</v>
      </c>
      <c r="AE63" s="138" t="n">
        <v>0</v>
      </c>
      <c r="AF63" s="141" t="n">
        <v>3</v>
      </c>
      <c r="AG63" s="144" t="n">
        <v>3</v>
      </c>
      <c r="AH63" s="147" t="n">
        <v>1</v>
      </c>
      <c r="AI63" s="150" t="n">
        <v>1</v>
      </c>
      <c r="AJ63" s="152" t="n">
        <v>3</v>
      </c>
      <c r="AK63" s="152" t="n">
        <v>1</v>
      </c>
      <c r="AL63" s="156" t="n">
        <v>0</v>
      </c>
      <c r="AM63" s="159" t="n">
        <v>1</v>
      </c>
      <c r="AN63" s="162" t="n">
        <v>1</v>
      </c>
      <c r="AO63" s="162" t="n">
        <v>1</v>
      </c>
      <c r="AP63" s="165" t="n">
        <v>1</v>
      </c>
      <c r="AQ63" s="168" t="n">
        <v>2</v>
      </c>
      <c r="AR63" s="171" t="n">
        <v>1</v>
      </c>
      <c r="AS63" s="174" t="n">
        <v>1</v>
      </c>
      <c r="AT63" s="177" t="n">
        <v>1</v>
      </c>
      <c r="AU63" s="177" t="n">
        <v>1</v>
      </c>
      <c r="AV63" s="181" t="n">
        <v>0</v>
      </c>
      <c r="AW63" s="184" t="n">
        <v>1</v>
      </c>
      <c r="AX63" s="184" t="n">
        <v>1</v>
      </c>
      <c r="AY63" s="187" t="n">
        <v>0</v>
      </c>
      <c r="AZ63" s="190" t="n">
        <v>1</v>
      </c>
      <c r="BA63" s="192" t="n">
        <v>0</v>
      </c>
      <c r="BB63" s="194" t="n">
        <v>3</v>
      </c>
      <c r="BC63" s="198" t="n">
        <v>1</v>
      </c>
      <c r="BD63" s="201" t="n">
        <v>1</v>
      </c>
      <c r="BE63" s="205" t="n">
        <v>0</v>
      </c>
      <c r="BF63" s="204" t="n">
        <v>1</v>
      </c>
      <c r="BG63" s="207" t="n">
        <v>1</v>
      </c>
      <c r="BH63" s="211" t="n">
        <v>-1</v>
      </c>
      <c r="BI63" s="211" t="n">
        <v>0</v>
      </c>
      <c r="BJ63" s="211" t="n">
        <v>0</v>
      </c>
      <c r="BK63" s="211" t="n">
        <v>0</v>
      </c>
      <c r="BL63" s="210" t="n">
        <v>1</v>
      </c>
      <c r="BM63" s="211" t="n">
        <v>0</v>
      </c>
      <c r="BN63" s="215" t="n">
        <v>0</v>
      </c>
      <c r="BO63" s="215" t="n">
        <v>0</v>
      </c>
      <c r="BP63" s="215" t="n">
        <v>0</v>
      </c>
      <c r="BQ63" s="215" t="n">
        <v>0</v>
      </c>
    </row>
    <row r="64">
      <c r="A64" s="22">
        <f>"https://open.spotify.com/playlist/" &amp; C64</f>
        <v/>
      </c>
      <c r="B64" s="1" t="inlineStr">
        <is>
          <t>INSANE Running 150–160 BPM 🔥 150–160 BPM Running Music | Tempo Run Playlist | Cardio Training Songs</t>
        </is>
      </c>
      <c r="C64" s="1" t="inlineStr">
        <is>
          <t>1BnkEG5sBSK4qUNCXR9EU6</t>
        </is>
      </c>
      <c r="D64" s="3" t="n">
        <v>165</v>
      </c>
      <c r="E64" s="21" t="n">
        <v>0</v>
      </c>
      <c r="F64" s="26" t="n">
        <v>2</v>
      </c>
      <c r="G64" s="26" t="n">
        <v>3</v>
      </c>
      <c r="H64" s="28" t="n">
        <v>3</v>
      </c>
      <c r="I64" s="31" t="n">
        <v>2</v>
      </c>
      <c r="J64" s="72" t="n">
        <v>4</v>
      </c>
      <c r="K64" s="77" t="n">
        <v>3</v>
      </c>
      <c r="L64" s="79" t="n">
        <v>1</v>
      </c>
      <c r="M64" s="81" t="n">
        <v>5</v>
      </c>
      <c r="N64" s="86" t="n">
        <v>0</v>
      </c>
      <c r="O64" s="88" t="n">
        <v>4</v>
      </c>
      <c r="P64" s="92" t="n">
        <v>2</v>
      </c>
      <c r="Q64" s="95" t="n">
        <v>1</v>
      </c>
      <c r="R64" s="98" t="n">
        <v>0</v>
      </c>
      <c r="S64" s="101" t="n">
        <v>1</v>
      </c>
      <c r="T64" s="104" t="n">
        <v>3</v>
      </c>
      <c r="U64" s="107" t="n">
        <v>1</v>
      </c>
      <c r="V64" s="109" t="n">
        <v>5</v>
      </c>
      <c r="W64" s="113" t="n">
        <v>2</v>
      </c>
      <c r="X64" s="116" t="n">
        <v>2</v>
      </c>
      <c r="Y64" s="119" t="n">
        <v>2</v>
      </c>
      <c r="Z64" s="121" t="n">
        <v>3</v>
      </c>
      <c r="AA64" s="125" t="n">
        <v>5</v>
      </c>
      <c r="AB64" s="130" t="n">
        <v>0</v>
      </c>
      <c r="AC64" s="132" t="n">
        <v>3</v>
      </c>
      <c r="AD64" s="135" t="n">
        <v>3</v>
      </c>
      <c r="AE64" s="137" t="n">
        <v>4</v>
      </c>
      <c r="AF64" s="141" t="n">
        <v>1</v>
      </c>
      <c r="AG64" s="143" t="n">
        <v>4</v>
      </c>
      <c r="AH64" s="147" t="n">
        <v>1</v>
      </c>
      <c r="AI64" s="150" t="n">
        <v>1</v>
      </c>
      <c r="AJ64" s="154" t="n">
        <v>0</v>
      </c>
      <c r="AK64" s="152" t="n">
        <v>2</v>
      </c>
      <c r="AL64" s="157" t="n">
        <v>2</v>
      </c>
      <c r="AM64" s="159" t="n">
        <v>3</v>
      </c>
      <c r="AN64" s="161" t="n">
        <v>3</v>
      </c>
      <c r="AO64" s="161" t="n">
        <v>3</v>
      </c>
      <c r="AP64" s="166" t="n">
        <v>-1</v>
      </c>
      <c r="AQ64" s="168" t="n">
        <v>3</v>
      </c>
      <c r="AR64" s="171" t="n">
        <v>2</v>
      </c>
      <c r="AS64" s="174" t="n">
        <v>1</v>
      </c>
      <c r="AT64" s="177" t="n">
        <v>3</v>
      </c>
      <c r="AU64" s="176" t="n">
        <v>4</v>
      </c>
      <c r="AV64" s="180" t="n">
        <v>1</v>
      </c>
      <c r="AW64" s="182" t="n">
        <v>5</v>
      </c>
      <c r="AX64" s="184" t="n">
        <v>3</v>
      </c>
      <c r="AY64" s="187" t="n">
        <v>0</v>
      </c>
      <c r="AZ64" s="190" t="n">
        <v>3</v>
      </c>
      <c r="BA64" s="193" t="n">
        <v>6</v>
      </c>
      <c r="BB64" s="195" t="n">
        <v>4</v>
      </c>
      <c r="BC64" s="197" t="n">
        <v>7</v>
      </c>
      <c r="BD64" s="201" t="n">
        <v>3</v>
      </c>
      <c r="BE64" s="204" t="n">
        <v>2</v>
      </c>
      <c r="BF64" s="204" t="n">
        <v>1</v>
      </c>
      <c r="BG64" s="207" t="n">
        <v>3</v>
      </c>
      <c r="BH64" s="210" t="n">
        <v>2</v>
      </c>
      <c r="BI64" s="210" t="n">
        <v>3</v>
      </c>
      <c r="BJ64" s="210" t="n">
        <v>3</v>
      </c>
      <c r="BK64" s="209" t="n">
        <v>5</v>
      </c>
      <c r="BL64" s="210" t="n">
        <v>3</v>
      </c>
      <c r="BM64" s="210" t="n">
        <v>2</v>
      </c>
      <c r="BN64" s="215" t="n">
        <v>0</v>
      </c>
      <c r="BO64" s="214" t="n">
        <v>2</v>
      </c>
      <c r="BP64" s="215" t="n">
        <v>0</v>
      </c>
      <c r="BQ64" s="214" t="n">
        <v>3</v>
      </c>
    </row>
    <row r="65">
      <c r="A65" s="22">
        <f>"https://open.spotify.com/playlist/" &amp; C65</f>
        <v/>
      </c>
      <c r="B65" s="1" t="inlineStr">
        <is>
          <t>KRÄFTIG Cycling Mix 150-160 BPM 🔥 Indoor Spinning Playlist | Energiegeladene Cardio Musik</t>
        </is>
      </c>
      <c r="C65" s="1" t="inlineStr">
        <is>
          <t>3NbkCqtMk9SOFbfQcAZS2X</t>
        </is>
      </c>
      <c r="D65" s="3" t="n">
        <v>236</v>
      </c>
      <c r="E65" s="21" t="n">
        <v>0</v>
      </c>
      <c r="F65" s="25" t="n">
        <v>0</v>
      </c>
      <c r="G65" s="26" t="n">
        <v>1</v>
      </c>
      <c r="H65" s="28" t="n">
        <v>3</v>
      </c>
      <c r="I65" s="31" t="n">
        <v>2</v>
      </c>
      <c r="J65" s="73" t="n">
        <v>2</v>
      </c>
      <c r="K65" s="76" t="n">
        <v>0</v>
      </c>
      <c r="L65" s="79" t="n">
        <v>3</v>
      </c>
      <c r="M65" s="82" t="n">
        <v>3</v>
      </c>
      <c r="N65" s="85" t="n">
        <v>1</v>
      </c>
      <c r="O65" s="89" t="n">
        <v>2</v>
      </c>
      <c r="P65" s="92" t="n">
        <v>1</v>
      </c>
      <c r="Q65" s="95" t="n">
        <v>3</v>
      </c>
      <c r="R65" s="99" t="n">
        <v>2</v>
      </c>
      <c r="S65" s="100" t="n">
        <v>4</v>
      </c>
      <c r="T65" s="103" t="n">
        <v>6</v>
      </c>
      <c r="U65" s="106" t="n">
        <v>4</v>
      </c>
      <c r="V65" s="109" t="n">
        <v>8</v>
      </c>
      <c r="W65" s="112" t="n">
        <v>6</v>
      </c>
      <c r="X65" s="116" t="n">
        <v>3</v>
      </c>
      <c r="Y65" s="119" t="n">
        <v>2</v>
      </c>
      <c r="Z65" s="122" t="n">
        <v>4</v>
      </c>
      <c r="AA65" s="126" t="n">
        <v>2</v>
      </c>
      <c r="AB65" s="128" t="n">
        <v>4</v>
      </c>
      <c r="AC65" s="131" t="n">
        <v>4</v>
      </c>
      <c r="AD65" s="134" t="n">
        <v>7</v>
      </c>
      <c r="AE65" s="137" t="n">
        <v>4</v>
      </c>
      <c r="AF65" s="141" t="n">
        <v>2</v>
      </c>
      <c r="AG65" s="144" t="n">
        <v>2</v>
      </c>
      <c r="AH65" s="147" t="n">
        <v>3</v>
      </c>
      <c r="AI65" s="149" t="n">
        <v>4</v>
      </c>
      <c r="AJ65" s="152" t="n">
        <v>3</v>
      </c>
      <c r="AK65" s="152" t="n">
        <v>2</v>
      </c>
      <c r="AL65" s="155" t="n">
        <v>9</v>
      </c>
      <c r="AM65" s="158" t="n">
        <v>4</v>
      </c>
      <c r="AN65" s="161" t="n">
        <v>3</v>
      </c>
      <c r="AO65" s="161" t="n">
        <v>3</v>
      </c>
      <c r="AP65" s="164" t="n">
        <v>5</v>
      </c>
      <c r="AQ65" s="168" t="n">
        <v>1</v>
      </c>
      <c r="AR65" s="171" t="n">
        <v>1</v>
      </c>
      <c r="AS65" s="173" t="n">
        <v>6</v>
      </c>
      <c r="AT65" s="176" t="n">
        <v>4</v>
      </c>
      <c r="AU65" s="177" t="n">
        <v>3</v>
      </c>
      <c r="AV65" s="179" t="n">
        <v>8</v>
      </c>
      <c r="AW65" s="182" t="n">
        <v>7</v>
      </c>
      <c r="AX65" s="182" t="n">
        <v>4</v>
      </c>
      <c r="AY65" s="185" t="n">
        <v>5</v>
      </c>
      <c r="AZ65" s="190" t="n">
        <v>2</v>
      </c>
      <c r="BA65" s="191" t="n">
        <v>1</v>
      </c>
      <c r="BB65" s="195" t="n">
        <v>7</v>
      </c>
      <c r="BC65" s="197" t="n">
        <v>6</v>
      </c>
      <c r="BD65" s="201" t="n">
        <v>2</v>
      </c>
      <c r="BE65" s="204" t="n">
        <v>3</v>
      </c>
      <c r="BF65" s="203" t="n">
        <v>4</v>
      </c>
      <c r="BG65" s="206" t="n">
        <v>6</v>
      </c>
      <c r="BH65" s="210" t="n">
        <v>3</v>
      </c>
      <c r="BI65" s="209" t="n">
        <v>7</v>
      </c>
      <c r="BJ65" s="210" t="n">
        <v>3</v>
      </c>
      <c r="BK65" s="209" t="n">
        <v>6</v>
      </c>
      <c r="BL65" s="209" t="n">
        <v>5</v>
      </c>
      <c r="BM65" s="210" t="n">
        <v>1</v>
      </c>
      <c r="BN65" s="214" t="n">
        <v>3</v>
      </c>
      <c r="BO65" s="214" t="n">
        <v>2</v>
      </c>
      <c r="BP65" s="216" t="n">
        <v>4</v>
      </c>
      <c r="BQ65" s="214" t="n">
        <v>3</v>
      </c>
    </row>
    <row r="66">
      <c r="A66" s="22">
        <f>"https://open.spotify.com/playlist/" &amp; C66</f>
        <v/>
      </c>
      <c r="B66" s="1" t="inlineStr">
        <is>
          <t>Pure Adrenaline 🏋️⚡ | Techno &amp; Hard Techno, Rave Energy, Workout &amp; Peak Focus 🔊</t>
        </is>
      </c>
      <c r="C66" s="1" t="inlineStr">
        <is>
          <t>139nsBLwLbCRItoTTBLDDF</t>
        </is>
      </c>
      <c r="D66" s="3" t="n">
        <v>41</v>
      </c>
      <c r="E66" s="21" t="n">
        <v>0</v>
      </c>
      <c r="F66" s="25" t="n">
        <v>0</v>
      </c>
      <c r="G66" s="26" t="n">
        <v>1</v>
      </c>
      <c r="H66" s="29" t="n">
        <v>0</v>
      </c>
      <c r="I66" s="32" t="n">
        <v>0</v>
      </c>
      <c r="J66" s="73" t="n">
        <v>2</v>
      </c>
      <c r="K66" s="77" t="n">
        <v>1</v>
      </c>
      <c r="L66" s="79" t="n">
        <v>2</v>
      </c>
      <c r="M66" s="83" t="n">
        <v>0</v>
      </c>
      <c r="N66" s="85" t="n">
        <v>1</v>
      </c>
      <c r="O66" s="90" t="n">
        <v>0</v>
      </c>
      <c r="P66" s="92" t="n">
        <v>1</v>
      </c>
      <c r="Q66" s="96" t="n">
        <v>0</v>
      </c>
      <c r="R66" s="98" t="n">
        <v>0</v>
      </c>
      <c r="S66" s="101" t="n">
        <v>1</v>
      </c>
      <c r="T66" s="104" t="n">
        <v>1</v>
      </c>
      <c r="U66" s="107" t="n">
        <v>1</v>
      </c>
      <c r="V66" s="110" t="n">
        <v>2</v>
      </c>
      <c r="W66" s="113" t="n">
        <v>1</v>
      </c>
      <c r="X66" s="117" t="n">
        <v>0</v>
      </c>
      <c r="Y66" s="120" t="n">
        <v>0</v>
      </c>
      <c r="Z66" s="123" t="n">
        <v>0</v>
      </c>
      <c r="AA66" s="127" t="n">
        <v>0</v>
      </c>
      <c r="AB66" s="129" t="n">
        <v>1</v>
      </c>
      <c r="AC66" s="133" t="n">
        <v>0</v>
      </c>
      <c r="AD66" s="136" t="n">
        <v>0</v>
      </c>
      <c r="AE66" s="138" t="n">
        <v>0</v>
      </c>
      <c r="AF66" s="142" t="n">
        <v>0</v>
      </c>
      <c r="AG66" s="144" t="n">
        <v>1</v>
      </c>
      <c r="AH66" s="148" t="n">
        <v>0</v>
      </c>
      <c r="AI66" s="151" t="n">
        <v>0</v>
      </c>
      <c r="AJ66" s="152" t="n">
        <v>1</v>
      </c>
      <c r="AK66" s="152" t="n">
        <v>1</v>
      </c>
      <c r="AL66" s="157" t="n">
        <v>1</v>
      </c>
      <c r="AM66" s="159" t="n">
        <v>1</v>
      </c>
      <c r="AN66" s="162" t="n">
        <v>1</v>
      </c>
      <c r="AO66" s="162" t="n">
        <v>0</v>
      </c>
      <c r="AP66" s="166" t="n">
        <v>0</v>
      </c>
      <c r="AQ66" s="168" t="n">
        <v>1</v>
      </c>
      <c r="AR66" s="172" t="n">
        <v>0</v>
      </c>
      <c r="AS66" s="175" t="n">
        <v>0</v>
      </c>
      <c r="AT66" s="178" t="n">
        <v>0</v>
      </c>
      <c r="AU66" s="178" t="n">
        <v>0</v>
      </c>
      <c r="AV66" s="180" t="n">
        <v>2</v>
      </c>
      <c r="AW66" s="182" t="n">
        <v>4</v>
      </c>
      <c r="AX66" s="184" t="n">
        <v>1</v>
      </c>
      <c r="AY66" s="186" t="n">
        <v>1</v>
      </c>
      <c r="AZ66" s="189" t="n">
        <v>0</v>
      </c>
      <c r="BA66" s="192" t="n">
        <v>0</v>
      </c>
      <c r="BB66" s="196" t="n">
        <v>0</v>
      </c>
      <c r="BC66" s="199" t="n">
        <v>0</v>
      </c>
      <c r="BD66" s="202" t="n">
        <v>0</v>
      </c>
      <c r="BE66" s="205" t="n">
        <v>0</v>
      </c>
      <c r="BF66" s="205" t="n">
        <v>0</v>
      </c>
      <c r="BG66" s="208" t="n">
        <v>0</v>
      </c>
      <c r="BH66" s="211" t="n">
        <v>0</v>
      </c>
      <c r="BI66" s="210" t="n">
        <v>2</v>
      </c>
      <c r="BJ66" s="210" t="n">
        <v>1</v>
      </c>
      <c r="BK66" s="211" t="n">
        <v>0</v>
      </c>
      <c r="BL66" s="211" t="n">
        <v>0</v>
      </c>
      <c r="BM66" s="210" t="n">
        <v>1</v>
      </c>
      <c r="BN66" s="215" t="n">
        <v>0</v>
      </c>
      <c r="BO66" s="215" t="n">
        <v>0</v>
      </c>
      <c r="BP66" s="215" t="n">
        <v>0</v>
      </c>
      <c r="BQ66" s="215" t="n">
        <v>0</v>
      </c>
    </row>
    <row r="67">
      <c r="A67" s="22">
        <f>"https://open.spotify.com/playlist/" &amp; C67</f>
        <v/>
      </c>
      <c r="B67" s="1" t="inlineStr">
        <is>
          <t>KRACHTIG Hardlopen 150–160 BPM 🔥 Running Muziek 150–160 BPM | Tempo Cardio Run Playlist</t>
        </is>
      </c>
      <c r="C67" s="1" t="inlineStr">
        <is>
          <t>0d5wo3ZmbnrDi83CSiiBa9</t>
        </is>
      </c>
      <c r="D67" s="3" t="n">
        <v>349</v>
      </c>
      <c r="E67" s="21" t="n">
        <v>0</v>
      </c>
      <c r="F67" s="25" t="n">
        <v>0</v>
      </c>
      <c r="G67" s="26" t="n">
        <v>1</v>
      </c>
      <c r="H67" s="28" t="n">
        <v>2</v>
      </c>
      <c r="I67" s="30" t="n">
        <v>4</v>
      </c>
      <c r="J67" s="72" t="n">
        <v>5</v>
      </c>
      <c r="K67" s="75" t="n">
        <v>4</v>
      </c>
      <c r="L67" s="78" t="n">
        <v>8</v>
      </c>
      <c r="M67" s="81" t="n">
        <v>10</v>
      </c>
      <c r="N67" s="84" t="n">
        <v>14</v>
      </c>
      <c r="O67" s="89" t="n">
        <v>1</v>
      </c>
      <c r="P67" s="91" t="n">
        <v>12</v>
      </c>
      <c r="Q67" s="94" t="n">
        <v>6</v>
      </c>
      <c r="R67" s="97" t="n">
        <v>8</v>
      </c>
      <c r="S67" s="100" t="n">
        <v>5</v>
      </c>
      <c r="T67" s="103" t="n">
        <v>7</v>
      </c>
      <c r="U67" s="106" t="n">
        <v>5</v>
      </c>
      <c r="V67" s="109" t="n">
        <v>15</v>
      </c>
      <c r="W67" s="114" t="n">
        <v>0</v>
      </c>
      <c r="X67" s="115" t="n">
        <v>4</v>
      </c>
      <c r="Y67" s="118" t="n">
        <v>5</v>
      </c>
      <c r="Z67" s="122" t="n">
        <v>9</v>
      </c>
      <c r="AA67" s="125" t="n">
        <v>7</v>
      </c>
      <c r="AB67" s="128" t="n">
        <v>8</v>
      </c>
      <c r="AC67" s="132" t="n">
        <v>1</v>
      </c>
      <c r="AD67" s="135" t="n">
        <v>2</v>
      </c>
      <c r="AE67" s="139" t="n">
        <v>3</v>
      </c>
      <c r="AF67" s="140" t="n">
        <v>8</v>
      </c>
      <c r="AG67" s="143" t="n">
        <v>9</v>
      </c>
      <c r="AH67" s="146" t="n">
        <v>6</v>
      </c>
      <c r="AI67" s="150" t="n">
        <v>3</v>
      </c>
      <c r="AJ67" s="152" t="n">
        <v>2</v>
      </c>
      <c r="AK67" s="153" t="n">
        <v>7</v>
      </c>
      <c r="AL67" s="155" t="n">
        <v>4</v>
      </c>
      <c r="AM67" s="159" t="n">
        <v>2</v>
      </c>
      <c r="AN67" s="161" t="n">
        <v>5</v>
      </c>
      <c r="AO67" s="161" t="n">
        <v>5</v>
      </c>
      <c r="AP67" s="164" t="n">
        <v>9</v>
      </c>
      <c r="AQ67" s="168" t="n">
        <v>3</v>
      </c>
      <c r="AR67" s="170" t="n">
        <v>6</v>
      </c>
      <c r="AS67" s="174" t="n">
        <v>3</v>
      </c>
      <c r="AT67" s="176" t="n">
        <v>7</v>
      </c>
      <c r="AU67" s="176" t="n">
        <v>7</v>
      </c>
      <c r="AV67" s="179" t="n">
        <v>12</v>
      </c>
      <c r="AW67" s="182" t="n">
        <v>6</v>
      </c>
      <c r="AX67" s="182" t="n">
        <v>5</v>
      </c>
      <c r="AY67" s="185" t="n">
        <v>9</v>
      </c>
      <c r="AZ67" s="188" t="n">
        <v>6</v>
      </c>
      <c r="BA67" s="191" t="n">
        <v>3</v>
      </c>
      <c r="BB67" s="195" t="n">
        <v>9</v>
      </c>
      <c r="BC67" s="197" t="n">
        <v>8</v>
      </c>
      <c r="BD67" s="200" t="n">
        <v>5</v>
      </c>
      <c r="BE67" s="204" t="n">
        <v>1</v>
      </c>
      <c r="BF67" s="203" t="n">
        <v>4</v>
      </c>
      <c r="BG67" s="206" t="n">
        <v>8</v>
      </c>
      <c r="BH67" s="210" t="n">
        <v>1</v>
      </c>
      <c r="BI67" s="209" t="n">
        <v>6</v>
      </c>
      <c r="BJ67" s="210" t="n">
        <v>3</v>
      </c>
      <c r="BK67" s="210" t="n">
        <v>3</v>
      </c>
      <c r="BL67" s="209" t="n">
        <v>4</v>
      </c>
      <c r="BM67" s="210" t="n">
        <v>2</v>
      </c>
      <c r="BN67" s="216" t="n">
        <v>6</v>
      </c>
      <c r="BO67" s="214" t="n">
        <v>1</v>
      </c>
      <c r="BP67" s="216" t="n">
        <v>6</v>
      </c>
      <c r="BQ67" s="216" t="n">
        <v>4</v>
      </c>
    </row>
    <row r="68">
      <c r="A68" s="22">
        <f>"https://open.spotify.com/playlist/" &amp; C68</f>
        <v/>
      </c>
      <c r="B68" s="1" t="inlineStr">
        <is>
          <t>BRUTAL Running 150–160 BPM 🔥 Música Running 150–160 BPM | Playlist Tempo Run | Cardio</t>
        </is>
      </c>
      <c r="C68" s="1" t="inlineStr">
        <is>
          <t>4HQDclD6nbheMyk5bRP6Zf</t>
        </is>
      </c>
      <c r="D68" s="3" t="n">
        <v>428</v>
      </c>
      <c r="E68" s="21" t="n">
        <v>0</v>
      </c>
      <c r="F68" s="26" t="n">
        <v>2</v>
      </c>
      <c r="G68" s="26" t="n">
        <v>2</v>
      </c>
      <c r="H68" s="27" t="n">
        <v>7</v>
      </c>
      <c r="I68" s="30" t="n">
        <v>9</v>
      </c>
      <c r="J68" s="72" t="n">
        <v>5</v>
      </c>
      <c r="K68" s="75" t="n">
        <v>4</v>
      </c>
      <c r="L68" s="78" t="n">
        <v>5</v>
      </c>
      <c r="M68" s="81" t="n">
        <v>6</v>
      </c>
      <c r="N68" s="84" t="n">
        <v>11</v>
      </c>
      <c r="O68" s="88" t="n">
        <v>7</v>
      </c>
      <c r="P68" s="91" t="n">
        <v>9</v>
      </c>
      <c r="Q68" s="95" t="n">
        <v>3</v>
      </c>
      <c r="R68" s="97" t="n">
        <v>7</v>
      </c>
      <c r="S68" s="100" t="n">
        <v>7</v>
      </c>
      <c r="T68" s="103" t="n">
        <v>7</v>
      </c>
      <c r="U68" s="106" t="n">
        <v>11</v>
      </c>
      <c r="V68" s="109" t="n">
        <v>6</v>
      </c>
      <c r="W68" s="112" t="n">
        <v>6</v>
      </c>
      <c r="X68" s="115" t="n">
        <v>7</v>
      </c>
      <c r="Y68" s="119" t="n">
        <v>3</v>
      </c>
      <c r="Z68" s="122" t="n">
        <v>10</v>
      </c>
      <c r="AA68" s="125" t="n">
        <v>6</v>
      </c>
      <c r="AB68" s="129" t="n">
        <v>2</v>
      </c>
      <c r="AC68" s="131" t="n">
        <v>9</v>
      </c>
      <c r="AD68" s="135" t="n">
        <v>3</v>
      </c>
      <c r="AE68" s="138" t="n">
        <v>0</v>
      </c>
      <c r="AF68" s="140" t="n">
        <v>4</v>
      </c>
      <c r="AG68" s="144" t="n">
        <v>2</v>
      </c>
      <c r="AH68" s="146" t="n">
        <v>4</v>
      </c>
      <c r="AI68" s="150" t="n">
        <v>3</v>
      </c>
      <c r="AJ68" s="153" t="n">
        <v>6</v>
      </c>
      <c r="AK68" s="153" t="n">
        <v>9</v>
      </c>
      <c r="AL68" s="157" t="n">
        <v>1</v>
      </c>
      <c r="AM68" s="158" t="n">
        <v>10</v>
      </c>
      <c r="AN68" s="161" t="n">
        <v>5</v>
      </c>
      <c r="AO68" s="161" t="n">
        <v>4</v>
      </c>
      <c r="AP68" s="164" t="n">
        <v>10</v>
      </c>
      <c r="AQ68" s="167" t="n">
        <v>4</v>
      </c>
      <c r="AR68" s="170" t="n">
        <v>6</v>
      </c>
      <c r="AS68" s="173" t="n">
        <v>10</v>
      </c>
      <c r="AT68" s="176" t="n">
        <v>5</v>
      </c>
      <c r="AU68" s="176" t="n">
        <v>10</v>
      </c>
      <c r="AV68" s="179" t="n">
        <v>12</v>
      </c>
      <c r="AW68" s="182" t="n">
        <v>6</v>
      </c>
      <c r="AX68" s="182" t="n">
        <v>18</v>
      </c>
      <c r="AY68" s="185" t="n">
        <v>9</v>
      </c>
      <c r="AZ68" s="188" t="n">
        <v>8</v>
      </c>
      <c r="BA68" s="193" t="n">
        <v>9</v>
      </c>
      <c r="BB68" s="195" t="n">
        <v>9</v>
      </c>
      <c r="BC68" s="197" t="n">
        <v>10</v>
      </c>
      <c r="BD68" s="200" t="n">
        <v>7</v>
      </c>
      <c r="BE68" s="203" t="n">
        <v>7</v>
      </c>
      <c r="BF68" s="203" t="n">
        <v>6</v>
      </c>
      <c r="BG68" s="206" t="n">
        <v>10</v>
      </c>
      <c r="BH68" s="209" t="n">
        <v>10</v>
      </c>
      <c r="BI68" s="209" t="n">
        <v>14</v>
      </c>
      <c r="BJ68" s="209" t="n">
        <v>7</v>
      </c>
      <c r="BK68" s="210" t="n">
        <v>2</v>
      </c>
      <c r="BL68" s="209" t="n">
        <v>4</v>
      </c>
      <c r="BM68" s="209" t="n">
        <v>6</v>
      </c>
      <c r="BN68" s="216" t="n">
        <v>9</v>
      </c>
      <c r="BO68" s="216" t="n">
        <v>5</v>
      </c>
      <c r="BP68" s="216" t="n">
        <v>6</v>
      </c>
      <c r="BQ68" s="216" t="n">
        <v>5</v>
      </c>
    </row>
    <row r="69">
      <c r="A69" s="22">
        <f>"https://open.spotify.com/playlist/" &amp; C69</f>
        <v/>
      </c>
      <c r="B69" s="1" t="inlineStr">
        <is>
          <t>ADRENALINICO Mix Ciclismo 2026 🔥 Playlist Spinning Indoor | Musica Cardio Energica</t>
        </is>
      </c>
      <c r="C69" s="1" t="inlineStr">
        <is>
          <t>5JZkaSR2VOW0Dpi9i8I9ug</t>
        </is>
      </c>
      <c r="D69" s="3" t="n">
        <v>104</v>
      </c>
      <c r="E69" s="21" t="n">
        <v>0</v>
      </c>
      <c r="F69" s="25" t="n">
        <v>0</v>
      </c>
      <c r="G69" s="26" t="n">
        <v>2</v>
      </c>
      <c r="H69" s="27" t="n">
        <v>5</v>
      </c>
      <c r="I69" s="31" t="n">
        <v>2</v>
      </c>
      <c r="J69" s="73" t="n">
        <v>3</v>
      </c>
      <c r="K69" s="76" t="n">
        <v>0</v>
      </c>
      <c r="L69" s="79" t="n">
        <v>1</v>
      </c>
      <c r="M69" s="83" t="n">
        <v>0</v>
      </c>
      <c r="N69" s="85" t="n">
        <v>1</v>
      </c>
      <c r="O69" s="88" t="n">
        <v>4</v>
      </c>
      <c r="P69" s="92" t="n">
        <v>2</v>
      </c>
      <c r="Q69" s="95" t="n">
        <v>3</v>
      </c>
      <c r="R69" s="99" t="n">
        <v>2</v>
      </c>
      <c r="S69" s="100" t="n">
        <v>4</v>
      </c>
      <c r="T69" s="104" t="n">
        <v>1</v>
      </c>
      <c r="U69" s="107" t="n">
        <v>2</v>
      </c>
      <c r="V69" s="110" t="n">
        <v>1</v>
      </c>
      <c r="W69" s="114" t="n">
        <v>-1</v>
      </c>
      <c r="X69" s="116" t="n">
        <v>2</v>
      </c>
      <c r="Y69" s="119" t="n">
        <v>2</v>
      </c>
      <c r="Z69" s="121" t="n">
        <v>2</v>
      </c>
      <c r="AA69" s="126" t="n">
        <v>1</v>
      </c>
      <c r="AB69" s="129" t="n">
        <v>1</v>
      </c>
      <c r="AC69" s="132" t="n">
        <v>1</v>
      </c>
      <c r="AD69" s="135" t="n">
        <v>2</v>
      </c>
      <c r="AE69" s="139" t="n">
        <v>2</v>
      </c>
      <c r="AF69" s="141" t="n">
        <v>2</v>
      </c>
      <c r="AG69" s="144" t="n">
        <v>3</v>
      </c>
      <c r="AH69" s="147" t="n">
        <v>1</v>
      </c>
      <c r="AI69" s="150" t="n">
        <v>2</v>
      </c>
      <c r="AJ69" s="152" t="n">
        <v>1</v>
      </c>
      <c r="AK69" s="152" t="n">
        <v>1</v>
      </c>
      <c r="AL69" s="156" t="n">
        <v>0</v>
      </c>
      <c r="AM69" s="159" t="n">
        <v>1</v>
      </c>
      <c r="AN69" s="162" t="n">
        <v>1</v>
      </c>
      <c r="AO69" s="162" t="n">
        <v>0</v>
      </c>
      <c r="AP69" s="165" t="n">
        <v>3</v>
      </c>
      <c r="AQ69" s="168" t="n">
        <v>1</v>
      </c>
      <c r="AR69" s="171" t="n">
        <v>2</v>
      </c>
      <c r="AS69" s="174" t="n">
        <v>2</v>
      </c>
      <c r="AT69" s="177" t="n">
        <v>3</v>
      </c>
      <c r="AU69" s="177" t="n">
        <v>1</v>
      </c>
      <c r="AV69" s="180" t="n">
        <v>3</v>
      </c>
      <c r="AW69" s="184" t="n">
        <v>3</v>
      </c>
      <c r="AX69" s="183" t="n">
        <v>0</v>
      </c>
      <c r="AY69" s="186" t="n">
        <v>1</v>
      </c>
      <c r="AZ69" s="189" t="n">
        <v>0</v>
      </c>
      <c r="BA69" s="191" t="n">
        <v>1</v>
      </c>
      <c r="BB69" s="196" t="n">
        <v>0</v>
      </c>
      <c r="BC69" s="199" t="n">
        <v>0</v>
      </c>
      <c r="BD69" s="201" t="n">
        <v>1</v>
      </c>
      <c r="BE69" s="204" t="n">
        <v>2</v>
      </c>
      <c r="BF69" s="205" t="n">
        <v>0</v>
      </c>
      <c r="BG69" s="206" t="n">
        <v>4</v>
      </c>
      <c r="BH69" s="210" t="n">
        <v>1</v>
      </c>
      <c r="BI69" s="209" t="n">
        <v>4</v>
      </c>
      <c r="BJ69" s="210" t="n">
        <v>2</v>
      </c>
      <c r="BK69" s="209" t="n">
        <v>4</v>
      </c>
      <c r="BL69" s="210" t="n">
        <v>3</v>
      </c>
      <c r="BM69" s="211" t="n">
        <v>0</v>
      </c>
      <c r="BN69" s="214" t="n">
        <v>1</v>
      </c>
      <c r="BO69" s="214" t="n">
        <v>1</v>
      </c>
      <c r="BP69" s="214" t="n">
        <v>1</v>
      </c>
      <c r="BQ69" s="214" t="n">
        <v>1</v>
      </c>
    </row>
    <row r="70">
      <c r="A70" s="22">
        <f>"https://open.spotify.com/playlist/" &amp; C70</f>
        <v/>
      </c>
      <c r="B70" s="1" t="inlineStr">
        <is>
          <t>BRUTAL 160-170 BPM Ciclismo 2026 🔥 Playlist Spinning Indoor | Música Cardio Energética</t>
        </is>
      </c>
      <c r="C70" s="1" t="inlineStr">
        <is>
          <t>7EZurUdpzoFuFOPBOA49HV</t>
        </is>
      </c>
      <c r="D70" s="3" t="n">
        <v>246</v>
      </c>
      <c r="E70" s="21" t="n">
        <v>0</v>
      </c>
      <c r="F70" s="26" t="n">
        <v>1</v>
      </c>
      <c r="G70" s="25" t="n">
        <v>0</v>
      </c>
      <c r="H70" s="27" t="n">
        <v>4</v>
      </c>
      <c r="I70" s="31" t="n">
        <v>1</v>
      </c>
      <c r="J70" s="72" t="n">
        <v>7</v>
      </c>
      <c r="K70" s="77" t="n">
        <v>2</v>
      </c>
      <c r="L70" s="79" t="n">
        <v>1</v>
      </c>
      <c r="M70" s="82" t="n">
        <v>2</v>
      </c>
      <c r="N70" s="84" t="n">
        <v>4</v>
      </c>
      <c r="O70" s="88" t="n">
        <v>6</v>
      </c>
      <c r="P70" s="91" t="n">
        <v>6</v>
      </c>
      <c r="Q70" s="94" t="n">
        <v>4</v>
      </c>
      <c r="R70" s="99" t="n">
        <v>2</v>
      </c>
      <c r="S70" s="100" t="n">
        <v>4</v>
      </c>
      <c r="T70" s="104" t="n">
        <v>3</v>
      </c>
      <c r="U70" s="106" t="n">
        <v>4</v>
      </c>
      <c r="V70" s="109" t="n">
        <v>4</v>
      </c>
      <c r="W70" s="113" t="n">
        <v>3</v>
      </c>
      <c r="X70" s="115" t="n">
        <v>7</v>
      </c>
      <c r="Y70" s="119" t="n">
        <v>2</v>
      </c>
      <c r="Z70" s="122" t="n">
        <v>4</v>
      </c>
      <c r="AA70" s="125" t="n">
        <v>4</v>
      </c>
      <c r="AB70" s="129" t="n">
        <v>3</v>
      </c>
      <c r="AC70" s="132" t="n">
        <v>2</v>
      </c>
      <c r="AD70" s="135" t="n">
        <v>2</v>
      </c>
      <c r="AE70" s="139" t="n">
        <v>2</v>
      </c>
      <c r="AF70" s="140" t="n">
        <v>5</v>
      </c>
      <c r="AG70" s="143" t="n">
        <v>4</v>
      </c>
      <c r="AH70" s="147" t="n">
        <v>3</v>
      </c>
      <c r="AI70" s="149" t="n">
        <v>4</v>
      </c>
      <c r="AJ70" s="153" t="n">
        <v>6</v>
      </c>
      <c r="AK70" s="153" t="n">
        <v>6</v>
      </c>
      <c r="AL70" s="155" t="n">
        <v>8</v>
      </c>
      <c r="AM70" s="159" t="n">
        <v>1</v>
      </c>
      <c r="AN70" s="161" t="n">
        <v>3</v>
      </c>
      <c r="AO70" s="161" t="n">
        <v>2</v>
      </c>
      <c r="AP70" s="164" t="n">
        <v>7</v>
      </c>
      <c r="AQ70" s="167" t="n">
        <v>6</v>
      </c>
      <c r="AR70" s="170" t="n">
        <v>6</v>
      </c>
      <c r="AS70" s="174" t="n">
        <v>1</v>
      </c>
      <c r="AT70" s="176" t="n">
        <v>4</v>
      </c>
      <c r="AU70" s="177" t="n">
        <v>3</v>
      </c>
      <c r="AV70" s="180" t="n">
        <v>1</v>
      </c>
      <c r="AW70" s="184" t="n">
        <v>2</v>
      </c>
      <c r="AX70" s="182" t="n">
        <v>4</v>
      </c>
      <c r="AY70" s="186" t="n">
        <v>2</v>
      </c>
      <c r="AZ70" s="188" t="n">
        <v>4</v>
      </c>
      <c r="BA70" s="193" t="n">
        <v>6</v>
      </c>
      <c r="BB70" s="195" t="n">
        <v>6</v>
      </c>
      <c r="BC70" s="198" t="n">
        <v>2</v>
      </c>
      <c r="BD70" s="200" t="n">
        <v>4</v>
      </c>
      <c r="BE70" s="203" t="n">
        <v>15</v>
      </c>
      <c r="BF70" s="203" t="n">
        <v>6</v>
      </c>
      <c r="BG70" s="206" t="n">
        <v>5</v>
      </c>
      <c r="BH70" s="210" t="n">
        <v>3</v>
      </c>
      <c r="BI70" s="209" t="n">
        <v>5</v>
      </c>
      <c r="BJ70" s="210" t="n">
        <v>1</v>
      </c>
      <c r="BK70" s="209" t="n">
        <v>7</v>
      </c>
      <c r="BL70" s="209" t="n">
        <v>5</v>
      </c>
      <c r="BM70" s="209" t="n">
        <v>4</v>
      </c>
      <c r="BN70" s="216" t="n">
        <v>5</v>
      </c>
      <c r="BO70" s="214" t="n">
        <v>3</v>
      </c>
      <c r="BP70" s="214" t="n">
        <v>1</v>
      </c>
      <c r="BQ70" s="214" t="n">
        <v>2</v>
      </c>
    </row>
    <row r="71">
      <c r="A71" s="22">
        <f>"https://open.spotify.com/playlist/" &amp; C71</f>
        <v/>
      </c>
      <c r="B71" s="1" t="inlineStr">
        <is>
          <t>POTENTE 160–165 Corsa Ritmica 💪 | Musica per Correre 160 BPM | Playlist Tempo Run | Cardio</t>
        </is>
      </c>
      <c r="C71" s="1" t="inlineStr">
        <is>
          <t>4tnTjbeH0WjkWTaTOAxpnY</t>
        </is>
      </c>
      <c r="D71" s="3" t="n">
        <v>64</v>
      </c>
      <c r="E71" s="21" t="n">
        <v>0</v>
      </c>
      <c r="F71" s="26" t="n">
        <v>1</v>
      </c>
      <c r="G71" s="25" t="n">
        <v>0</v>
      </c>
      <c r="H71" s="29" t="n">
        <v>0</v>
      </c>
      <c r="I71" s="31" t="n">
        <v>1</v>
      </c>
      <c r="J71" s="73" t="n">
        <v>3</v>
      </c>
      <c r="K71" s="76" t="n">
        <v>0</v>
      </c>
      <c r="L71" s="79" t="n">
        <v>1</v>
      </c>
      <c r="M71" s="83" t="n">
        <v>0</v>
      </c>
      <c r="N71" s="85" t="n">
        <v>1</v>
      </c>
      <c r="O71" s="89" t="n">
        <v>2</v>
      </c>
      <c r="P71" s="92" t="n">
        <v>1</v>
      </c>
      <c r="Q71" s="95" t="n">
        <v>1</v>
      </c>
      <c r="R71" s="99" t="n">
        <v>2</v>
      </c>
      <c r="S71" s="101" t="n">
        <v>1</v>
      </c>
      <c r="T71" s="105" t="n">
        <v>0</v>
      </c>
      <c r="U71" s="107" t="n">
        <v>1</v>
      </c>
      <c r="V71" s="110" t="n">
        <v>1</v>
      </c>
      <c r="W71" s="112" t="n">
        <v>4</v>
      </c>
      <c r="X71" s="116" t="n">
        <v>3</v>
      </c>
      <c r="Y71" s="120" t="n">
        <v>0</v>
      </c>
      <c r="Z71" s="121" t="n">
        <v>1</v>
      </c>
      <c r="AA71" s="127" t="n">
        <v>0</v>
      </c>
      <c r="AB71" s="129" t="n">
        <v>2</v>
      </c>
      <c r="AC71" s="132" t="n">
        <v>2</v>
      </c>
      <c r="AD71" s="135" t="n">
        <v>1</v>
      </c>
      <c r="AE71" s="138" t="n">
        <v>0</v>
      </c>
      <c r="AF71" s="141" t="n">
        <v>1</v>
      </c>
      <c r="AG71" s="144" t="n">
        <v>2</v>
      </c>
      <c r="AH71" s="147" t="n">
        <v>2</v>
      </c>
      <c r="AI71" s="151" t="n">
        <v>0</v>
      </c>
      <c r="AJ71" s="154" t="n">
        <v>0</v>
      </c>
      <c r="AK71" s="154" t="n">
        <v>0</v>
      </c>
      <c r="AL71" s="157" t="n">
        <v>2</v>
      </c>
      <c r="AM71" s="159" t="n">
        <v>2</v>
      </c>
      <c r="AN71" s="162" t="n">
        <v>1</v>
      </c>
      <c r="AO71" s="162" t="n">
        <v>0</v>
      </c>
      <c r="AP71" s="165" t="n">
        <v>2</v>
      </c>
      <c r="AQ71" s="169" t="n">
        <v>0</v>
      </c>
      <c r="AR71" s="171" t="n">
        <v>2</v>
      </c>
      <c r="AS71" s="174" t="n">
        <v>1</v>
      </c>
      <c r="AT71" s="177" t="n">
        <v>1</v>
      </c>
      <c r="AU71" s="176" t="n">
        <v>4</v>
      </c>
      <c r="AV71" s="181" t="n">
        <v>0</v>
      </c>
      <c r="AW71" s="184" t="n">
        <v>2</v>
      </c>
      <c r="AX71" s="184" t="n">
        <v>1</v>
      </c>
      <c r="AY71" s="186" t="n">
        <v>3</v>
      </c>
      <c r="AZ71" s="189" t="n">
        <v>0</v>
      </c>
      <c r="BA71" s="191" t="n">
        <v>1</v>
      </c>
      <c r="BB71" s="194" t="n">
        <v>1</v>
      </c>
      <c r="BC71" s="199" t="n">
        <v>0</v>
      </c>
      <c r="BD71" s="201" t="n">
        <v>1</v>
      </c>
      <c r="BE71" s="204" t="n">
        <v>3</v>
      </c>
      <c r="BF71" s="204" t="n">
        <v>2</v>
      </c>
      <c r="BG71" s="208" t="n">
        <v>0</v>
      </c>
      <c r="BH71" s="211" t="n">
        <v>0</v>
      </c>
      <c r="BI71" s="211" t="n">
        <v>0</v>
      </c>
      <c r="BJ71" s="211" t="n">
        <v>0</v>
      </c>
      <c r="BK71" s="211" t="n">
        <v>0</v>
      </c>
      <c r="BL71" s="211" t="n">
        <v>0</v>
      </c>
      <c r="BM71" s="211" t="n">
        <v>0</v>
      </c>
      <c r="BN71" s="215" t="n">
        <v>0</v>
      </c>
      <c r="BO71" s="214" t="n">
        <v>1</v>
      </c>
      <c r="BP71" s="215" t="n">
        <v>0</v>
      </c>
      <c r="BQ71" s="215" t="n">
        <v>0</v>
      </c>
    </row>
    <row r="72">
      <c r="A72" s="22">
        <f>"https://open.spotify.com/playlist/" &amp; C72</f>
        <v/>
      </c>
      <c r="B72" s="1" t="inlineStr">
        <is>
          <t>PAZZESCA Corsa 180–190 BPM 🔥 Musica per Correre Veloce | Playlist Jogging</t>
        </is>
      </c>
      <c r="C72" s="1" t="inlineStr">
        <is>
          <t>3v68aBUy2LBHIfngDuOaif</t>
        </is>
      </c>
      <c r="D72" s="3" t="n">
        <v>112</v>
      </c>
      <c r="E72" s="21" t="n">
        <v>0</v>
      </c>
      <c r="F72" s="25" t="n">
        <v>0</v>
      </c>
      <c r="G72" s="25" t="n">
        <v>0</v>
      </c>
      <c r="H72" s="29" t="n">
        <v>0</v>
      </c>
      <c r="I72" s="32" t="n">
        <v>0</v>
      </c>
      <c r="J72" s="74" t="n">
        <v>0</v>
      </c>
      <c r="K72" s="76" t="n">
        <v>0</v>
      </c>
      <c r="L72" s="79" t="n">
        <v>1</v>
      </c>
      <c r="M72" s="82" t="n">
        <v>1</v>
      </c>
      <c r="N72" s="85" t="n">
        <v>2</v>
      </c>
      <c r="O72" s="89" t="n">
        <v>3</v>
      </c>
      <c r="P72" s="92" t="n">
        <v>2</v>
      </c>
      <c r="Q72" s="94" t="n">
        <v>4</v>
      </c>
      <c r="R72" s="99" t="n">
        <v>3</v>
      </c>
      <c r="S72" s="100" t="n">
        <v>4</v>
      </c>
      <c r="T72" s="104" t="n">
        <v>1</v>
      </c>
      <c r="U72" s="107" t="n">
        <v>3</v>
      </c>
      <c r="V72" s="110" t="n">
        <v>1</v>
      </c>
      <c r="W72" s="113" t="n">
        <v>1</v>
      </c>
      <c r="X72" s="116" t="n">
        <v>2</v>
      </c>
      <c r="Y72" s="120" t="n">
        <v>0</v>
      </c>
      <c r="Z72" s="122" t="n">
        <v>4</v>
      </c>
      <c r="AA72" s="126" t="n">
        <v>3</v>
      </c>
      <c r="AB72" s="129" t="n">
        <v>1</v>
      </c>
      <c r="AC72" s="132" t="n">
        <v>1</v>
      </c>
      <c r="AD72" s="135" t="n">
        <v>2</v>
      </c>
      <c r="AE72" s="138" t="n">
        <v>0</v>
      </c>
      <c r="AF72" s="141" t="n">
        <v>2</v>
      </c>
      <c r="AG72" s="144" t="n">
        <v>3</v>
      </c>
      <c r="AH72" s="147" t="n">
        <v>1</v>
      </c>
      <c r="AI72" s="150" t="n">
        <v>2</v>
      </c>
      <c r="AJ72" s="152" t="n">
        <v>1</v>
      </c>
      <c r="AK72" s="154" t="n">
        <v>0</v>
      </c>
      <c r="AL72" s="157" t="n">
        <v>2</v>
      </c>
      <c r="AM72" s="159" t="n">
        <v>2</v>
      </c>
      <c r="AN72" s="161" t="n">
        <v>2</v>
      </c>
      <c r="AO72" s="161" t="n">
        <v>2</v>
      </c>
      <c r="AP72" s="166" t="n">
        <v>0</v>
      </c>
      <c r="AQ72" s="168" t="n">
        <v>2</v>
      </c>
      <c r="AR72" s="171" t="n">
        <v>1</v>
      </c>
      <c r="AS72" s="173" t="n">
        <v>4</v>
      </c>
      <c r="AT72" s="177" t="n">
        <v>3</v>
      </c>
      <c r="AU72" s="177" t="n">
        <v>3</v>
      </c>
      <c r="AV72" s="181" t="n">
        <v>0</v>
      </c>
      <c r="AW72" s="182" t="n">
        <v>4</v>
      </c>
      <c r="AX72" s="184" t="n">
        <v>1</v>
      </c>
      <c r="AY72" s="186" t="n">
        <v>1</v>
      </c>
      <c r="AZ72" s="189" t="n">
        <v>0</v>
      </c>
      <c r="BA72" s="191" t="n">
        <v>1</v>
      </c>
      <c r="BB72" s="195" t="n">
        <v>4</v>
      </c>
      <c r="BC72" s="199" t="n">
        <v>0</v>
      </c>
      <c r="BD72" s="201" t="n">
        <v>1</v>
      </c>
      <c r="BE72" s="204" t="n">
        <v>1</v>
      </c>
      <c r="BF72" s="205" t="n">
        <v>0</v>
      </c>
      <c r="BG72" s="206" t="n">
        <v>5</v>
      </c>
      <c r="BH72" s="210" t="n">
        <v>2</v>
      </c>
      <c r="BI72" s="211" t="n">
        <v>0</v>
      </c>
      <c r="BJ72" s="211" t="n">
        <v>0</v>
      </c>
      <c r="BK72" s="210" t="n">
        <v>1</v>
      </c>
      <c r="BL72" s="210" t="n">
        <v>3</v>
      </c>
      <c r="BM72" s="210" t="n">
        <v>3</v>
      </c>
      <c r="BN72" s="216" t="n">
        <v>9</v>
      </c>
      <c r="BO72" s="214" t="n">
        <v>1</v>
      </c>
      <c r="BP72" s="216" t="n">
        <v>4</v>
      </c>
      <c r="BQ72" s="214" t="n">
        <v>2</v>
      </c>
    </row>
    <row r="73">
      <c r="A73" s="22">
        <f>"https://open.spotify.com/playlist/" &amp; C73</f>
        <v/>
      </c>
      <c r="B73" s="1" t="inlineStr">
        <is>
          <t>Deep Ambient Journeys 💥🧠 | Cinematic Atmospheres, Focus Music, Expansive Sound Design 2026 🌌</t>
        </is>
      </c>
      <c r="C73" s="1" t="inlineStr">
        <is>
          <t>4LTmF1u0JT8GgxVaPrVu2p</t>
        </is>
      </c>
      <c r="D73" s="3" t="n">
        <v>0</v>
      </c>
      <c r="E73" s="21" t="n">
        <v>0</v>
      </c>
      <c r="F73" s="25" t="n">
        <v>0</v>
      </c>
      <c r="G73" s="25" t="n">
        <v>0</v>
      </c>
      <c r="H73" s="29" t="n">
        <v>0</v>
      </c>
      <c r="I73" s="32" t="n">
        <v>0</v>
      </c>
      <c r="J73" s="74" t="n">
        <v>0</v>
      </c>
      <c r="K73" s="76" t="n">
        <v>0</v>
      </c>
      <c r="L73" s="80" t="n">
        <v>0</v>
      </c>
      <c r="M73" s="83" t="n">
        <v>0</v>
      </c>
      <c r="N73" s="86" t="n">
        <v>0</v>
      </c>
      <c r="O73" s="90" t="n">
        <v>0</v>
      </c>
      <c r="P73" s="93" t="n">
        <v>0</v>
      </c>
      <c r="Q73" s="96" t="n">
        <v>0</v>
      </c>
      <c r="R73" s="98" t="n">
        <v>0</v>
      </c>
      <c r="S73" s="102" t="n">
        <v>0</v>
      </c>
      <c r="T73" s="105" t="n">
        <v>0</v>
      </c>
      <c r="U73" s="108" t="n">
        <v>0</v>
      </c>
      <c r="V73" s="111" t="n">
        <v>0</v>
      </c>
      <c r="W73" s="114" t="n">
        <v>0</v>
      </c>
      <c r="X73" s="117" t="n">
        <v>0</v>
      </c>
      <c r="Y73" s="120" t="n">
        <v>0</v>
      </c>
      <c r="Z73" s="123" t="n">
        <v>0</v>
      </c>
      <c r="AA73" s="127" t="n">
        <v>0</v>
      </c>
      <c r="AB73" s="130" t="n">
        <v>0</v>
      </c>
      <c r="AC73" s="133" t="n">
        <v>0</v>
      </c>
      <c r="AD73" s="136" t="n">
        <v>0</v>
      </c>
      <c r="AE73" s="138" t="n">
        <v>0</v>
      </c>
      <c r="AF73" s="142" t="n">
        <v>0</v>
      </c>
      <c r="AG73" s="145" t="n">
        <v>0</v>
      </c>
      <c r="AH73" s="148" t="n">
        <v>0</v>
      </c>
      <c r="AI73" s="151" t="n">
        <v>0</v>
      </c>
      <c r="AJ73" s="154" t="n">
        <v>0</v>
      </c>
      <c r="AK73" s="154" t="n">
        <v>0</v>
      </c>
      <c r="AL73" s="156" t="n">
        <v>0</v>
      </c>
      <c r="AM73" s="160" t="n">
        <v>0</v>
      </c>
      <c r="AN73" s="163" t="n">
        <v>0</v>
      </c>
      <c r="AO73" s="163" t="n">
        <v>0</v>
      </c>
      <c r="AP73" s="166" t="n">
        <v>0</v>
      </c>
      <c r="AQ73" s="169" t="n">
        <v>0</v>
      </c>
      <c r="AR73" s="172" t="n">
        <v>0</v>
      </c>
      <c r="AS73" s="175" t="n">
        <v>0</v>
      </c>
      <c r="AU73" s="178" t="n">
        <v>0</v>
      </c>
      <c r="AV73" s="181" t="n">
        <v>0</v>
      </c>
      <c r="AW73" s="183" t="n">
        <v>0</v>
      </c>
      <c r="AX73" s="183" t="n">
        <v>0</v>
      </c>
      <c r="AY73" s="187" t="n">
        <v>0</v>
      </c>
      <c r="AZ73" s="189" t="n">
        <v>0</v>
      </c>
      <c r="BA73" s="192" t="n">
        <v>0</v>
      </c>
      <c r="BB73" s="196" t="n">
        <v>0</v>
      </c>
      <c r="BC73" s="199" t="n">
        <v>0</v>
      </c>
      <c r="BD73" s="202" t="n">
        <v>0</v>
      </c>
      <c r="BE73" s="205" t="n">
        <v>0</v>
      </c>
      <c r="BF73" s="205" t="n">
        <v>0</v>
      </c>
      <c r="BG73" s="208" t="n">
        <v>0</v>
      </c>
      <c r="BH73" s="211" t="n">
        <v>0</v>
      </c>
      <c r="BI73" s="211" t="n">
        <v>0</v>
      </c>
      <c r="BJ73" s="211" t="n">
        <v>0</v>
      </c>
      <c r="BK73" s="211" t="n">
        <v>0</v>
      </c>
      <c r="BL73" s="211" t="n">
        <v>0</v>
      </c>
      <c r="BM73" s="211" t="n">
        <v>0</v>
      </c>
      <c r="BN73" s="215" t="n">
        <v>0</v>
      </c>
      <c r="BO73" s="215" t="n">
        <v>0</v>
      </c>
      <c r="BP73" s="215" t="n">
        <v>0</v>
      </c>
      <c r="BQ73" s="215" t="n">
        <v>0</v>
      </c>
    </row>
    <row r="74">
      <c r="A74" s="22">
        <f>"https://open.spotify.com/playlist/" &amp; C74</f>
        <v/>
      </c>
      <c r="B74" s="1" t="inlineStr">
        <is>
          <t>Rowing Machine Songs 2026 | Rowing Workout Music, Cardio &amp; Power Training 🎶💪</t>
        </is>
      </c>
      <c r="C74" s="1" t="inlineStr">
        <is>
          <t>3IdMMEysbfQ3IUD9a1pwJJ</t>
        </is>
      </c>
      <c r="D74" s="3" t="n">
        <v>135</v>
      </c>
      <c r="E74" s="21" t="n">
        <v>0</v>
      </c>
      <c r="F74" s="26" t="n">
        <v>3</v>
      </c>
      <c r="G74" s="24" t="n">
        <v>5</v>
      </c>
      <c r="H74" s="28" t="n">
        <v>1</v>
      </c>
      <c r="I74" s="31" t="n">
        <v>1</v>
      </c>
      <c r="J74" s="74" t="n">
        <v>0</v>
      </c>
      <c r="K74" s="77" t="n">
        <v>1</v>
      </c>
      <c r="L74" s="80" t="n">
        <v>0</v>
      </c>
      <c r="M74" s="82" t="n">
        <v>3</v>
      </c>
      <c r="N74" s="86" t="n">
        <v>0</v>
      </c>
      <c r="O74" s="89" t="n">
        <v>1</v>
      </c>
      <c r="P74" s="93" t="n">
        <v>0</v>
      </c>
      <c r="Q74" s="96" t="n">
        <v>0</v>
      </c>
      <c r="R74" s="98" t="n">
        <v>0</v>
      </c>
      <c r="S74" s="101" t="n">
        <v>2</v>
      </c>
      <c r="T74" s="104" t="n">
        <v>3</v>
      </c>
      <c r="U74" s="107" t="n">
        <v>3</v>
      </c>
      <c r="V74" s="110" t="n">
        <v>3</v>
      </c>
      <c r="W74" s="113" t="n">
        <v>3</v>
      </c>
      <c r="X74" s="116" t="n">
        <v>2</v>
      </c>
      <c r="Y74" s="119" t="n">
        <v>3</v>
      </c>
      <c r="Z74" s="121" t="n">
        <v>3</v>
      </c>
      <c r="AA74" s="126" t="n">
        <v>1</v>
      </c>
      <c r="AB74" s="128" t="n">
        <v>4</v>
      </c>
      <c r="AC74" s="132" t="n">
        <v>1</v>
      </c>
      <c r="AD74" s="136" t="n">
        <v>0</v>
      </c>
      <c r="AE74" s="138" t="n">
        <v>0</v>
      </c>
      <c r="AF74" s="141" t="n">
        <v>1</v>
      </c>
      <c r="AG74" s="143" t="n">
        <v>4</v>
      </c>
      <c r="AH74" s="147" t="n">
        <v>2</v>
      </c>
      <c r="AI74" s="150" t="n">
        <v>2</v>
      </c>
      <c r="AJ74" s="152" t="n">
        <v>1</v>
      </c>
      <c r="AK74" s="152" t="n">
        <v>1</v>
      </c>
      <c r="AL74" s="157" t="n">
        <v>3</v>
      </c>
      <c r="AM74" s="159" t="n">
        <v>1</v>
      </c>
      <c r="AN74" s="162" t="n">
        <v>2</v>
      </c>
      <c r="AO74" s="162" t="n">
        <v>1</v>
      </c>
      <c r="AP74" s="165" t="n">
        <v>1</v>
      </c>
      <c r="AQ74" s="168" t="n">
        <v>2</v>
      </c>
      <c r="AR74" s="171" t="n">
        <v>1</v>
      </c>
      <c r="AS74" s="173" t="n">
        <v>5</v>
      </c>
      <c r="AT74" s="177" t="n">
        <v>1</v>
      </c>
      <c r="AU74" s="177" t="n">
        <v>2</v>
      </c>
      <c r="AV74" s="180" t="n">
        <v>3</v>
      </c>
      <c r="AW74" s="183" t="n">
        <v>0</v>
      </c>
      <c r="AX74" s="183" t="n">
        <v>0</v>
      </c>
      <c r="AY74" s="186" t="n">
        <v>1</v>
      </c>
      <c r="AZ74" s="190" t="n">
        <v>3</v>
      </c>
      <c r="BA74" s="191" t="n">
        <v>3</v>
      </c>
      <c r="BB74" s="195" t="n">
        <v>6</v>
      </c>
      <c r="BC74" s="198" t="n">
        <v>3</v>
      </c>
      <c r="BD74" s="201" t="n">
        <v>1</v>
      </c>
      <c r="BE74" s="205" t="n">
        <v>-1</v>
      </c>
      <c r="BF74" s="204" t="n">
        <v>2</v>
      </c>
      <c r="BG74" s="208" t="n">
        <v>-1</v>
      </c>
      <c r="BH74" s="210" t="n">
        <v>2</v>
      </c>
      <c r="BI74" s="210" t="n">
        <v>2</v>
      </c>
      <c r="BJ74" s="209" t="n">
        <v>4</v>
      </c>
      <c r="BK74" s="210" t="n">
        <v>3</v>
      </c>
      <c r="BL74" s="211" t="n">
        <v>0</v>
      </c>
      <c r="BM74" s="210" t="n">
        <v>1</v>
      </c>
      <c r="BN74" s="215" t="n">
        <v>0</v>
      </c>
      <c r="BO74" s="214" t="n">
        <v>3</v>
      </c>
      <c r="BP74" s="215" t="n">
        <v>0</v>
      </c>
      <c r="BQ74" s="214" t="n">
        <v>3</v>
      </c>
    </row>
    <row r="75">
      <c r="A75" s="22">
        <f>"https://open.spotify.com/playlist/" &amp; C75</f>
        <v/>
      </c>
      <c r="B75" s="1" t="inlineStr">
        <is>
          <t>Dance Night 2026 | Club Hits, Party Music &amp; Nightlife Vibes 💃🔥</t>
        </is>
      </c>
      <c r="C75" s="1" t="inlineStr">
        <is>
          <t>5h15OO7PHSni0heAU44Gq1</t>
        </is>
      </c>
      <c r="D75" s="3" t="n">
        <v>55</v>
      </c>
      <c r="E75" s="21" t="n">
        <v>0</v>
      </c>
      <c r="F75" s="26" t="n">
        <v>2</v>
      </c>
      <c r="G75" s="26" t="n">
        <v>3</v>
      </c>
      <c r="H75" s="29" t="n">
        <v>0</v>
      </c>
      <c r="I75" s="32" t="n">
        <v>0</v>
      </c>
      <c r="J75" s="73" t="n">
        <v>3</v>
      </c>
      <c r="K75" s="77" t="n">
        <v>2</v>
      </c>
      <c r="L75" s="80" t="n">
        <v>0</v>
      </c>
      <c r="M75" s="82" t="n">
        <v>1</v>
      </c>
      <c r="N75" s="85" t="n">
        <v>1</v>
      </c>
      <c r="O75" s="90" t="n">
        <v>0</v>
      </c>
      <c r="P75" s="93" t="n">
        <v>0</v>
      </c>
      <c r="Q75" s="96" t="n">
        <v>0</v>
      </c>
      <c r="R75" s="99" t="n">
        <v>1</v>
      </c>
      <c r="S75" s="101" t="n">
        <v>3</v>
      </c>
      <c r="T75" s="104" t="n">
        <v>1</v>
      </c>
      <c r="U75" s="107" t="n">
        <v>2</v>
      </c>
      <c r="V75" s="110" t="n">
        <v>2</v>
      </c>
      <c r="W75" s="114" t="n">
        <v>0</v>
      </c>
      <c r="X75" s="117" t="n">
        <v>0</v>
      </c>
      <c r="Y75" s="120" t="n">
        <v>0</v>
      </c>
      <c r="Z75" s="123" t="n">
        <v>0</v>
      </c>
      <c r="AA75" s="127" t="n">
        <v>0</v>
      </c>
      <c r="AB75" s="130" t="n">
        <v>0</v>
      </c>
      <c r="AC75" s="132" t="n">
        <v>1</v>
      </c>
      <c r="AD75" s="135" t="n">
        <v>3</v>
      </c>
      <c r="AE75" s="138" t="n">
        <v>0</v>
      </c>
      <c r="AF75" s="141" t="n">
        <v>1</v>
      </c>
      <c r="AG75" s="145" t="n">
        <v>0</v>
      </c>
      <c r="AH75" s="148" t="n">
        <v>0</v>
      </c>
      <c r="AI75" s="151" t="n">
        <v>0</v>
      </c>
      <c r="AJ75" s="154" t="n">
        <v>0</v>
      </c>
      <c r="AK75" s="152" t="n">
        <v>1</v>
      </c>
      <c r="AL75" s="156" t="n">
        <v>0</v>
      </c>
      <c r="AM75" s="159" t="n">
        <v>1</v>
      </c>
      <c r="AN75" s="163" t="n">
        <v>0</v>
      </c>
      <c r="AO75" s="163" t="n">
        <v>0</v>
      </c>
      <c r="AP75" s="166" t="n">
        <v>-1</v>
      </c>
      <c r="AQ75" s="169" t="n">
        <v>0</v>
      </c>
      <c r="AR75" s="172" t="n">
        <v>0</v>
      </c>
      <c r="AS75" s="175" t="n">
        <v>0</v>
      </c>
      <c r="AT75" s="178" t="n">
        <v>0</v>
      </c>
      <c r="AU75" s="178" t="n">
        <v>0</v>
      </c>
      <c r="AV75" s="180" t="n">
        <v>1</v>
      </c>
      <c r="AW75" s="183" t="n">
        <v>0</v>
      </c>
      <c r="AX75" s="183" t="n">
        <v>0</v>
      </c>
      <c r="AY75" s="187" t="n">
        <v>0</v>
      </c>
      <c r="AZ75" s="189" t="n">
        <v>0</v>
      </c>
      <c r="BA75" s="191" t="n">
        <v>1</v>
      </c>
      <c r="BB75" s="194" t="n">
        <v>1</v>
      </c>
      <c r="BC75" s="199" t="n">
        <v>0</v>
      </c>
      <c r="BD75" s="202" t="n">
        <v>0</v>
      </c>
      <c r="BE75" s="204" t="n">
        <v>1</v>
      </c>
      <c r="BF75" s="205" t="n">
        <v>0</v>
      </c>
      <c r="BG75" s="208" t="n">
        <v>0</v>
      </c>
      <c r="BH75" s="210" t="n">
        <v>1</v>
      </c>
      <c r="BI75" s="210" t="n">
        <v>1</v>
      </c>
      <c r="BJ75" s="211" t="n">
        <v>0</v>
      </c>
      <c r="BK75" s="211" t="n">
        <v>0</v>
      </c>
      <c r="BL75" s="211" t="n">
        <v>0</v>
      </c>
      <c r="BM75" s="210" t="n">
        <v>1</v>
      </c>
      <c r="BN75" s="215" t="n">
        <v>0</v>
      </c>
      <c r="BO75" s="215" t="n">
        <v>0</v>
      </c>
      <c r="BP75" s="215" t="n">
        <v>0</v>
      </c>
      <c r="BQ75" s="215" t="n">
        <v>0</v>
      </c>
    </row>
    <row r="76">
      <c r="A76" s="22">
        <f>"https://open.spotify.com/playlist/" &amp; C76</f>
        <v/>
      </c>
      <c r="B76" s="1" t="inlineStr">
        <is>
          <t>Beatport Top 100 | Tech House Charts, Club Anthems, Underground DJ Hits 2026 🎧🔥</t>
        </is>
      </c>
      <c r="C76" s="1" t="inlineStr">
        <is>
          <t>3CbvuaGKRkZ5QfKLmaPIaZ</t>
        </is>
      </c>
      <c r="D76" s="3" t="n">
        <v>67</v>
      </c>
      <c r="E76" s="21" t="n">
        <v>0</v>
      </c>
      <c r="F76" s="25" t="n">
        <v>0</v>
      </c>
      <c r="G76" s="26" t="n">
        <v>2</v>
      </c>
      <c r="H76" s="28" t="n">
        <v>2</v>
      </c>
      <c r="I76" s="32" t="n">
        <v>-1</v>
      </c>
      <c r="J76" s="73" t="n">
        <v>2</v>
      </c>
      <c r="K76" s="76" t="n">
        <v>0</v>
      </c>
      <c r="L76" s="79" t="n">
        <v>1</v>
      </c>
      <c r="M76" s="82" t="n">
        <v>1</v>
      </c>
      <c r="N76" s="85" t="n">
        <v>3</v>
      </c>
      <c r="O76" s="89" t="n">
        <v>2</v>
      </c>
      <c r="P76" s="92" t="n">
        <v>2</v>
      </c>
      <c r="Q76" s="95" t="n">
        <v>2</v>
      </c>
      <c r="R76" s="98" t="n">
        <v>0</v>
      </c>
      <c r="S76" s="102" t="n">
        <v>0</v>
      </c>
      <c r="T76" s="105" t="n">
        <v>0</v>
      </c>
      <c r="U76" s="107" t="n">
        <v>1</v>
      </c>
      <c r="V76" s="110" t="n">
        <v>2</v>
      </c>
      <c r="W76" s="113" t="n">
        <v>2</v>
      </c>
      <c r="X76" s="116" t="n">
        <v>1</v>
      </c>
      <c r="Y76" s="120" t="n">
        <v>0</v>
      </c>
      <c r="Z76" s="123" t="n">
        <v>0</v>
      </c>
      <c r="AA76" s="126" t="n">
        <v>3</v>
      </c>
      <c r="AB76" s="130" t="n">
        <v>0</v>
      </c>
      <c r="AC76" s="133" t="n">
        <v>0</v>
      </c>
      <c r="AD76" s="135" t="n">
        <v>1</v>
      </c>
      <c r="AE76" s="139" t="n">
        <v>2</v>
      </c>
      <c r="AF76" s="141" t="n">
        <v>1</v>
      </c>
      <c r="AG76" s="145" t="n">
        <v>0</v>
      </c>
      <c r="AH76" s="148" t="n">
        <v>0</v>
      </c>
      <c r="AI76" s="150" t="n">
        <v>1</v>
      </c>
      <c r="AJ76" s="154" t="n">
        <v>0</v>
      </c>
      <c r="AK76" s="152" t="n">
        <v>1</v>
      </c>
      <c r="AL76" s="156" t="n">
        <v>0</v>
      </c>
      <c r="AM76" s="160" t="n">
        <v>0</v>
      </c>
      <c r="AN76" s="163" t="n">
        <v>0</v>
      </c>
      <c r="AO76" s="163" t="n">
        <v>0</v>
      </c>
      <c r="AP76" s="165" t="n">
        <v>2</v>
      </c>
      <c r="AQ76" s="169" t="n">
        <v>0</v>
      </c>
      <c r="AR76" s="172" t="n">
        <v>0</v>
      </c>
      <c r="AS76" s="174" t="n">
        <v>1</v>
      </c>
      <c r="AT76" s="177" t="n">
        <v>1</v>
      </c>
      <c r="AU76" s="178" t="n">
        <v>0</v>
      </c>
      <c r="AV76" s="181" t="n">
        <v>0</v>
      </c>
      <c r="AW76" s="183" t="n">
        <v>0</v>
      </c>
      <c r="AX76" s="183" t="n">
        <v>0</v>
      </c>
      <c r="AY76" s="187" t="n">
        <v>0</v>
      </c>
      <c r="AZ76" s="190" t="n">
        <v>2</v>
      </c>
      <c r="BA76" s="191" t="n">
        <v>1</v>
      </c>
      <c r="BB76" s="194" t="n">
        <v>3</v>
      </c>
      <c r="BC76" s="199" t="n">
        <v>0</v>
      </c>
      <c r="BD76" s="202" t="n">
        <v>0</v>
      </c>
      <c r="BE76" s="205" t="n">
        <v>0</v>
      </c>
      <c r="BF76" s="205" t="n">
        <v>0</v>
      </c>
      <c r="BG76" s="208" t="n">
        <v>0</v>
      </c>
      <c r="BH76" s="210" t="n">
        <v>1</v>
      </c>
      <c r="BI76" s="210" t="n">
        <v>1</v>
      </c>
      <c r="BJ76" s="210" t="n">
        <v>1</v>
      </c>
      <c r="BK76" s="211" t="n">
        <v>0</v>
      </c>
      <c r="BL76" s="210" t="n">
        <v>1</v>
      </c>
      <c r="BM76" s="211" t="n">
        <v>0</v>
      </c>
      <c r="BN76" s="215" t="n">
        <v>0</v>
      </c>
      <c r="BO76" s="214" t="n">
        <v>1</v>
      </c>
      <c r="BP76" s="215" t="n">
        <v>0</v>
      </c>
      <c r="BQ76" s="214" t="n">
        <v>2</v>
      </c>
    </row>
    <row r="77">
      <c r="A77" s="22">
        <f>"https://open.spotify.com/playlist/" &amp; C77</f>
        <v/>
      </c>
      <c r="B77" s="1" t="inlineStr">
        <is>
          <t>Techno Summer Ibiza | Ibiza Techno, Beach Raves, Sunset Club Anthems 2026 ☀️🏝️</t>
        </is>
      </c>
      <c r="C77" s="1" t="inlineStr">
        <is>
          <t>4JgsrkH6NwiSDveDldF359</t>
        </is>
      </c>
      <c r="D77" s="3" t="n">
        <v>46</v>
      </c>
      <c r="E77" s="21" t="n">
        <v>0</v>
      </c>
      <c r="F77" s="25" t="n">
        <v>0</v>
      </c>
      <c r="G77" s="26" t="n">
        <v>1</v>
      </c>
      <c r="H77" s="28" t="n">
        <v>2</v>
      </c>
      <c r="I77" s="32" t="n">
        <v>0</v>
      </c>
      <c r="J77" s="73" t="n">
        <v>2</v>
      </c>
      <c r="K77" s="77" t="n">
        <v>1</v>
      </c>
      <c r="L77" s="79" t="n">
        <v>1</v>
      </c>
      <c r="M77" s="83" t="n">
        <v>0</v>
      </c>
      <c r="N77" s="86" t="n">
        <v>0</v>
      </c>
      <c r="O77" s="90" t="n">
        <v>0</v>
      </c>
      <c r="P77" s="92" t="n">
        <v>1</v>
      </c>
      <c r="Q77" s="95" t="n">
        <v>1</v>
      </c>
      <c r="R77" s="99" t="n">
        <v>1</v>
      </c>
      <c r="S77" s="102" t="n">
        <v>0</v>
      </c>
      <c r="T77" s="104" t="n">
        <v>3</v>
      </c>
      <c r="U77" s="108" t="n">
        <v>0</v>
      </c>
      <c r="V77" s="110" t="n">
        <v>1</v>
      </c>
      <c r="W77" s="113" t="n">
        <v>1</v>
      </c>
      <c r="X77" s="116" t="n">
        <v>1</v>
      </c>
      <c r="Y77" s="120" t="n">
        <v>0</v>
      </c>
      <c r="Z77" s="121" t="n">
        <v>2</v>
      </c>
      <c r="AA77" s="127" t="n">
        <v>-1</v>
      </c>
      <c r="AB77" s="129" t="n">
        <v>2</v>
      </c>
      <c r="AC77" s="132" t="n">
        <v>2</v>
      </c>
      <c r="AD77" s="135" t="n">
        <v>1</v>
      </c>
      <c r="AE77" s="138" t="n">
        <v>0</v>
      </c>
      <c r="AF77" s="142" t="n">
        <v>0</v>
      </c>
      <c r="AG77" s="145" t="n">
        <v>0</v>
      </c>
      <c r="AH77" s="147" t="n">
        <v>1</v>
      </c>
      <c r="AI77" s="151" t="n">
        <v>-1</v>
      </c>
      <c r="AJ77" s="154" t="n">
        <v>0</v>
      </c>
      <c r="AK77" s="154" t="n">
        <v>0</v>
      </c>
      <c r="AL77" s="156" t="n">
        <v>0</v>
      </c>
      <c r="AM77" s="160" t="n">
        <v>0</v>
      </c>
      <c r="AN77" s="163" t="n">
        <v>0</v>
      </c>
      <c r="AO77" s="163" t="n">
        <v>0</v>
      </c>
      <c r="AP77" s="166" t="n">
        <v>0</v>
      </c>
      <c r="AQ77" s="169" t="n">
        <v>0</v>
      </c>
      <c r="AR77" s="172" t="n">
        <v>0</v>
      </c>
      <c r="AS77" s="175" t="n">
        <v>0</v>
      </c>
      <c r="AT77" s="177" t="n">
        <v>1</v>
      </c>
      <c r="AU77" s="177" t="n">
        <v>2</v>
      </c>
      <c r="AV77" s="181" t="n">
        <v>0</v>
      </c>
      <c r="AW77" s="184" t="n">
        <v>1</v>
      </c>
      <c r="AX77" s="183" t="n">
        <v>0</v>
      </c>
      <c r="AY77" s="186" t="n">
        <v>1</v>
      </c>
      <c r="AZ77" s="189" t="n">
        <v>0</v>
      </c>
      <c r="BA77" s="192" t="n">
        <v>0</v>
      </c>
      <c r="BB77" s="194" t="n">
        <v>1</v>
      </c>
      <c r="BC77" s="199" t="n">
        <v>0</v>
      </c>
      <c r="BD77" s="202" t="n">
        <v>0</v>
      </c>
      <c r="BE77" s="205" t="n">
        <v>0</v>
      </c>
      <c r="BF77" s="205" t="n">
        <v>0</v>
      </c>
      <c r="BG77" s="207" t="n">
        <v>1</v>
      </c>
      <c r="BH77" s="210" t="n">
        <v>1</v>
      </c>
      <c r="BI77" s="211" t="n">
        <v>0</v>
      </c>
      <c r="BJ77" s="211" t="n">
        <v>0</v>
      </c>
      <c r="BK77" s="211" t="n">
        <v>0</v>
      </c>
      <c r="BL77" s="210" t="n">
        <v>1</v>
      </c>
      <c r="BM77" s="211" t="n">
        <v>0</v>
      </c>
      <c r="BN77" s="215" t="n">
        <v>0</v>
      </c>
      <c r="BO77" s="215" t="n">
        <v>0</v>
      </c>
      <c r="BP77" s="215" t="n">
        <v>0</v>
      </c>
      <c r="BQ77" s="215" t="n">
        <v>0</v>
      </c>
    </row>
    <row r="78">
      <c r="A78" s="22">
        <f>"https://open.spotify.com/playlist/" &amp; C78</f>
        <v/>
      </c>
      <c r="B78" s="1" t="inlineStr">
        <is>
          <t>INTENSE Running Music 180–190 BPM 🔥 Fast Songs for Running | High Tempo Jogging Playlist</t>
        </is>
      </c>
      <c r="C78" s="1" t="inlineStr">
        <is>
          <t>3XW1EIKjIdbQV6w5LCCcN1</t>
        </is>
      </c>
      <c r="D78" s="3" t="n">
        <v>385</v>
      </c>
      <c r="E78" s="21" t="n">
        <v>0</v>
      </c>
      <c r="F78" s="26" t="n">
        <v>3</v>
      </c>
      <c r="G78" s="24" t="n">
        <v>5</v>
      </c>
      <c r="H78" s="27" t="n">
        <v>4</v>
      </c>
      <c r="I78" s="30" t="n">
        <v>8</v>
      </c>
      <c r="J78" s="72" t="n">
        <v>5</v>
      </c>
      <c r="K78" s="77" t="n">
        <v>1</v>
      </c>
      <c r="L78" s="79" t="n">
        <v>1</v>
      </c>
      <c r="M78" s="82" t="n">
        <v>3</v>
      </c>
      <c r="N78" s="84" t="n">
        <v>4</v>
      </c>
      <c r="O78" s="89" t="n">
        <v>1</v>
      </c>
      <c r="P78" s="92" t="n">
        <v>2</v>
      </c>
      <c r="Q78" s="95" t="n">
        <v>1</v>
      </c>
      <c r="R78" s="97" t="n">
        <v>5</v>
      </c>
      <c r="S78" s="100" t="n">
        <v>6</v>
      </c>
      <c r="T78" s="103" t="n">
        <v>8</v>
      </c>
      <c r="U78" s="106" t="n">
        <v>4</v>
      </c>
      <c r="V78" s="110" t="n">
        <v>3</v>
      </c>
      <c r="W78" s="113" t="n">
        <v>2</v>
      </c>
      <c r="X78" s="115" t="n">
        <v>4</v>
      </c>
      <c r="Y78" s="118" t="n">
        <v>7</v>
      </c>
      <c r="Z78" s="121" t="n">
        <v>1</v>
      </c>
      <c r="AA78" s="125" t="n">
        <v>4</v>
      </c>
      <c r="AB78" s="129" t="n">
        <v>2</v>
      </c>
      <c r="AC78" s="132" t="n">
        <v>1</v>
      </c>
      <c r="AD78" s="135" t="n">
        <v>2</v>
      </c>
      <c r="AE78" s="137" t="n">
        <v>4</v>
      </c>
      <c r="AF78" s="140" t="n">
        <v>5</v>
      </c>
      <c r="AG78" s="143" t="n">
        <v>10</v>
      </c>
      <c r="AH78" s="146" t="n">
        <v>6</v>
      </c>
      <c r="AI78" s="149" t="n">
        <v>8</v>
      </c>
      <c r="AJ78" s="153" t="n">
        <v>6</v>
      </c>
      <c r="AK78" s="152" t="n">
        <v>3</v>
      </c>
      <c r="AL78" s="155" t="n">
        <v>7</v>
      </c>
      <c r="AM78" s="158" t="n">
        <v>10</v>
      </c>
      <c r="AN78" s="161" t="n">
        <v>6</v>
      </c>
      <c r="AO78" s="161" t="n">
        <v>5</v>
      </c>
      <c r="AP78" s="165" t="n">
        <v>3</v>
      </c>
      <c r="AQ78" s="167" t="n">
        <v>4</v>
      </c>
      <c r="AR78" s="170" t="n">
        <v>5</v>
      </c>
      <c r="AS78" s="173" t="n">
        <v>4</v>
      </c>
      <c r="AT78" s="176" t="n">
        <v>6</v>
      </c>
      <c r="AU78" s="176" t="n">
        <v>10</v>
      </c>
      <c r="AV78" s="179" t="n">
        <v>6</v>
      </c>
      <c r="AW78" s="182" t="n">
        <v>7</v>
      </c>
      <c r="AX78" s="182" t="n">
        <v>6</v>
      </c>
      <c r="AY78" s="185" t="n">
        <v>4</v>
      </c>
      <c r="AZ78" s="188" t="n">
        <v>8</v>
      </c>
      <c r="BA78" s="193" t="n">
        <v>8</v>
      </c>
      <c r="BB78" s="195" t="n">
        <v>11</v>
      </c>
      <c r="BC78" s="197" t="n">
        <v>7</v>
      </c>
      <c r="BD78" s="200" t="n">
        <v>4</v>
      </c>
      <c r="BE78" s="203" t="n">
        <v>6</v>
      </c>
      <c r="BF78" s="203" t="n">
        <v>9</v>
      </c>
      <c r="BG78" s="206" t="n">
        <v>20</v>
      </c>
      <c r="BH78" s="209" t="n">
        <v>16</v>
      </c>
      <c r="BI78" s="209" t="n">
        <v>19</v>
      </c>
      <c r="BJ78" s="209" t="n">
        <v>11</v>
      </c>
      <c r="BK78" s="209" t="n">
        <v>4</v>
      </c>
      <c r="BL78" s="209" t="n">
        <v>8</v>
      </c>
      <c r="BM78" s="209" t="n">
        <v>4</v>
      </c>
      <c r="BN78" s="216" t="n">
        <v>10</v>
      </c>
      <c r="BO78" s="216" t="n">
        <v>7</v>
      </c>
      <c r="BP78" s="216" t="n">
        <v>4</v>
      </c>
      <c r="BQ78" s="216" t="n">
        <v>6</v>
      </c>
    </row>
    <row r="79">
      <c r="A79" s="22">
        <f>"https://open.spotify.com/playlist/" &amp; C79</f>
        <v/>
      </c>
      <c r="B79" s="1" t="inlineStr">
        <is>
          <t>ADRENALINE Power Cycling 160 BPM 2026 ⚡ Indoor Spinning Playlist | High-Energy Cardio Music</t>
        </is>
      </c>
      <c r="C79" s="1" t="inlineStr">
        <is>
          <t>4I0azrNdoqeuzx64WhMKvD</t>
        </is>
      </c>
      <c r="D79" s="3" t="n">
        <v>83</v>
      </c>
      <c r="E79" s="21" t="n">
        <v>0</v>
      </c>
      <c r="F79" s="25" t="n">
        <v>0</v>
      </c>
      <c r="G79" s="24" t="n">
        <v>7</v>
      </c>
      <c r="H79" s="27" t="n">
        <v>6</v>
      </c>
      <c r="I79" s="31" t="n">
        <v>2</v>
      </c>
      <c r="J79" s="74" t="n">
        <v>0</v>
      </c>
      <c r="K79" s="77" t="n">
        <v>2</v>
      </c>
      <c r="L79" s="79" t="n">
        <v>2</v>
      </c>
      <c r="M79" s="82" t="n">
        <v>3</v>
      </c>
      <c r="N79" s="85" t="n">
        <v>2</v>
      </c>
      <c r="O79" s="89" t="n">
        <v>1</v>
      </c>
      <c r="P79" s="93" t="n">
        <v>0</v>
      </c>
      <c r="Q79" s="96" t="n">
        <v>0</v>
      </c>
      <c r="R79" s="98" t="n">
        <v>0</v>
      </c>
      <c r="S79" s="101" t="n">
        <v>1</v>
      </c>
      <c r="T79" s="105" t="n">
        <v>-1</v>
      </c>
      <c r="U79" s="108" t="n">
        <v>0</v>
      </c>
      <c r="V79" s="110" t="n">
        <v>2</v>
      </c>
      <c r="W79" s="114" t="n">
        <v>-1</v>
      </c>
      <c r="X79" s="117" t="n">
        <v>0</v>
      </c>
      <c r="Y79" s="118" t="n">
        <v>4</v>
      </c>
      <c r="Z79" s="122" t="n">
        <v>5</v>
      </c>
      <c r="AB79" s="129" t="n">
        <v>1</v>
      </c>
      <c r="AC79" s="132" t="n">
        <v>2</v>
      </c>
      <c r="AD79" s="136" t="n">
        <v>0</v>
      </c>
      <c r="AE79" s="138" t="n">
        <v>0</v>
      </c>
      <c r="AF79" s="140" t="n">
        <v>4</v>
      </c>
      <c r="AG79" s="144" t="n">
        <v>2</v>
      </c>
      <c r="AH79" s="147" t="n">
        <v>2</v>
      </c>
      <c r="AI79" s="150" t="n">
        <v>1</v>
      </c>
      <c r="AJ79" s="152" t="n">
        <v>3</v>
      </c>
      <c r="AK79" s="152" t="n">
        <v>2</v>
      </c>
      <c r="AL79" s="157" t="n">
        <v>2</v>
      </c>
      <c r="AM79" s="159" t="n">
        <v>1</v>
      </c>
      <c r="AN79" s="162" t="n">
        <v>1</v>
      </c>
      <c r="AO79" s="162" t="n">
        <v>1</v>
      </c>
      <c r="AP79" s="166" t="n">
        <v>0</v>
      </c>
      <c r="AQ79" s="169" t="n">
        <v>0</v>
      </c>
      <c r="AR79" s="171" t="n">
        <v>1</v>
      </c>
      <c r="AS79" s="175" t="n">
        <v>0</v>
      </c>
      <c r="AT79" s="177" t="n">
        <v>2</v>
      </c>
      <c r="AU79" s="178" t="n">
        <v>0</v>
      </c>
      <c r="AV79" s="180" t="n">
        <v>2</v>
      </c>
      <c r="AW79" s="183" t="n">
        <v>0</v>
      </c>
      <c r="AX79" s="183" t="n">
        <v>0</v>
      </c>
      <c r="AY79" s="187" t="n">
        <v>0</v>
      </c>
      <c r="AZ79" s="190" t="n">
        <v>1</v>
      </c>
      <c r="BA79" s="191" t="n">
        <v>1</v>
      </c>
      <c r="BB79" s="194" t="n">
        <v>1</v>
      </c>
      <c r="BC79" s="198" t="n">
        <v>1</v>
      </c>
      <c r="BD79" s="201" t="n">
        <v>1</v>
      </c>
      <c r="BE79" s="204" t="n">
        <v>1</v>
      </c>
      <c r="BF79" s="204" t="n">
        <v>2</v>
      </c>
      <c r="BG79" s="208" t="n">
        <v>0</v>
      </c>
      <c r="BH79" s="211" t="n">
        <v>0</v>
      </c>
      <c r="BI79" s="211" t="n">
        <v>-1</v>
      </c>
      <c r="BJ79" s="210" t="n">
        <v>2</v>
      </c>
      <c r="BK79" s="210" t="n">
        <v>1</v>
      </c>
      <c r="BL79" s="211" t="n">
        <v>0</v>
      </c>
      <c r="BM79" s="211" t="n">
        <v>0</v>
      </c>
      <c r="BN79" s="214" t="n">
        <v>1</v>
      </c>
      <c r="BO79" s="215" t="n">
        <v>0</v>
      </c>
      <c r="BP79" s="215" t="n">
        <v>0</v>
      </c>
      <c r="BQ79" s="215" t="n">
        <v>0</v>
      </c>
    </row>
    <row r="80">
      <c r="A80" s="22">
        <f>"https://open.spotify.com/playlist/" &amp; C80</f>
        <v/>
      </c>
      <c r="B80" s="1" t="inlineStr">
        <is>
          <t>Sacred DRUID Meditation 🌿 | Celtic Forest Ambient &amp; Ritual Atmosphere</t>
        </is>
      </c>
      <c r="C80" s="1" t="inlineStr">
        <is>
          <t>4TNjgx7saNibtwNj8QpIlc</t>
        </is>
      </c>
      <c r="D80" s="3" t="n">
        <v>84</v>
      </c>
      <c r="E80" s="21" t="n">
        <v>0</v>
      </c>
      <c r="F80" s="25" t="n">
        <v>0</v>
      </c>
      <c r="G80" s="25" t="n">
        <v>0</v>
      </c>
      <c r="H80" s="29" t="n">
        <v>0</v>
      </c>
      <c r="I80" s="31" t="n">
        <v>2</v>
      </c>
      <c r="J80" s="74" t="n">
        <v>0</v>
      </c>
      <c r="K80" s="76" t="n">
        <v>0</v>
      </c>
      <c r="L80" s="80" t="n">
        <v>0</v>
      </c>
      <c r="M80" s="82" t="n">
        <v>1</v>
      </c>
      <c r="N80" s="85" t="n">
        <v>3</v>
      </c>
      <c r="O80" s="88" t="n">
        <v>4</v>
      </c>
      <c r="P80" s="92" t="n">
        <v>1</v>
      </c>
      <c r="Q80" s="94" t="n">
        <v>6</v>
      </c>
      <c r="R80" s="97" t="n">
        <v>4</v>
      </c>
      <c r="S80" s="101" t="n">
        <v>2</v>
      </c>
      <c r="T80" s="103" t="n">
        <v>4</v>
      </c>
      <c r="U80" s="106" t="n">
        <v>4</v>
      </c>
      <c r="V80" s="109" t="n">
        <v>5</v>
      </c>
      <c r="W80" s="113" t="n">
        <v>2</v>
      </c>
      <c r="X80" s="115" t="n">
        <v>4</v>
      </c>
      <c r="Y80" s="119" t="n">
        <v>2</v>
      </c>
      <c r="Z80" s="121" t="n">
        <v>1</v>
      </c>
      <c r="AA80" s="126" t="n">
        <v>1</v>
      </c>
      <c r="AB80" s="130" t="n">
        <v>0</v>
      </c>
      <c r="AC80" s="132" t="n">
        <v>2</v>
      </c>
      <c r="AD80" s="135" t="n">
        <v>2</v>
      </c>
      <c r="AE80" s="138" t="n">
        <v>0</v>
      </c>
      <c r="AF80" s="141" t="n">
        <v>1</v>
      </c>
      <c r="AG80" s="144" t="n">
        <v>2</v>
      </c>
      <c r="AH80" s="148" t="n">
        <v>0</v>
      </c>
      <c r="AI80" s="150" t="n">
        <v>1</v>
      </c>
      <c r="AJ80" s="154" t="n">
        <v>0</v>
      </c>
      <c r="AK80" s="152" t="n">
        <v>1</v>
      </c>
      <c r="AL80" s="157" t="n">
        <v>1</v>
      </c>
      <c r="AM80" s="159" t="n">
        <v>1</v>
      </c>
      <c r="AN80" s="162" t="n">
        <v>1</v>
      </c>
      <c r="AO80" s="162" t="n">
        <v>1</v>
      </c>
      <c r="AP80" s="165" t="n">
        <v>2</v>
      </c>
      <c r="AQ80" s="168" t="n">
        <v>1</v>
      </c>
      <c r="AR80" s="171" t="n">
        <v>2</v>
      </c>
      <c r="AS80" s="175" t="n">
        <v>0</v>
      </c>
      <c r="AT80" s="178" t="n">
        <v>0</v>
      </c>
      <c r="AU80" s="178" t="n">
        <v>0</v>
      </c>
      <c r="AV80" s="180" t="n">
        <v>1</v>
      </c>
      <c r="AW80" s="183" t="n">
        <v>0</v>
      </c>
      <c r="AX80" s="184" t="n">
        <v>1</v>
      </c>
      <c r="AY80" s="187" t="n">
        <v>0</v>
      </c>
      <c r="AZ80" s="190" t="n">
        <v>3</v>
      </c>
      <c r="BA80" s="192" t="n">
        <v>0</v>
      </c>
      <c r="BB80" s="194" t="n">
        <v>1</v>
      </c>
      <c r="BC80" s="198" t="n">
        <v>1</v>
      </c>
      <c r="BD80" s="202" t="n">
        <v>0</v>
      </c>
      <c r="BE80" s="205" t="n">
        <v>0</v>
      </c>
      <c r="BF80" s="204" t="n">
        <v>1</v>
      </c>
      <c r="BG80" s="208" t="n">
        <v>0</v>
      </c>
      <c r="BH80" s="211" t="n">
        <v>0</v>
      </c>
      <c r="BI80" s="210" t="n">
        <v>2</v>
      </c>
      <c r="BJ80" s="211" t="n">
        <v>0</v>
      </c>
      <c r="BK80" s="210" t="n">
        <v>1</v>
      </c>
      <c r="BL80" s="211" t="n">
        <v>0</v>
      </c>
      <c r="BM80" s="210" t="n">
        <v>1</v>
      </c>
      <c r="BN80" s="215" t="n">
        <v>0</v>
      </c>
      <c r="BO80" s="215" t="n">
        <v>0</v>
      </c>
      <c r="BP80" s="214" t="n">
        <v>1</v>
      </c>
      <c r="BQ80" s="215" t="n">
        <v>0</v>
      </c>
    </row>
    <row r="81">
      <c r="A81" s="22">
        <f>"https://open.spotify.com/playlist/" &amp; C81</f>
        <v/>
      </c>
      <c r="B81" s="1" t="inlineStr">
        <is>
          <t>INTENSA Running 180–190 BPM 🔥 Música para Correr Rápido | Playlist Jogging</t>
        </is>
      </c>
      <c r="C81" s="1" t="inlineStr">
        <is>
          <t>0OimUfM688YTJbgTTYIdxi</t>
        </is>
      </c>
      <c r="D81" s="3" t="n">
        <v>713</v>
      </c>
      <c r="E81" s="21" t="n">
        <v>0</v>
      </c>
      <c r="F81" s="26" t="n">
        <v>1</v>
      </c>
      <c r="G81" s="25" t="n">
        <v>0</v>
      </c>
      <c r="H81" s="28" t="n">
        <v>1</v>
      </c>
      <c r="I81" s="31" t="n">
        <v>3</v>
      </c>
      <c r="J81" s="73" t="n">
        <v>1</v>
      </c>
      <c r="K81" s="77" t="n">
        <v>3</v>
      </c>
      <c r="L81" s="78" t="n">
        <v>5</v>
      </c>
      <c r="M81" s="82" t="n">
        <v>2</v>
      </c>
      <c r="N81" s="85" t="n">
        <v>1</v>
      </c>
      <c r="O81" s="88" t="n">
        <v>4</v>
      </c>
      <c r="P81" s="91" t="n">
        <v>7</v>
      </c>
      <c r="Q81" s="95" t="n">
        <v>2</v>
      </c>
      <c r="R81" s="97" t="n">
        <v>10</v>
      </c>
      <c r="S81" s="100" t="n">
        <v>6</v>
      </c>
      <c r="T81" s="103" t="n">
        <v>6</v>
      </c>
      <c r="U81" s="106" t="n">
        <v>5</v>
      </c>
      <c r="V81" s="109" t="n">
        <v>4</v>
      </c>
      <c r="W81" s="113" t="n">
        <v>3</v>
      </c>
      <c r="X81" s="115" t="n">
        <v>5</v>
      </c>
      <c r="Y81" s="118" t="n">
        <v>9</v>
      </c>
      <c r="Z81" s="122" t="n">
        <v>11</v>
      </c>
      <c r="AA81" s="126" t="n">
        <v>3</v>
      </c>
      <c r="AB81" s="129" t="n">
        <v>2</v>
      </c>
      <c r="AC81" s="131" t="n">
        <v>8</v>
      </c>
      <c r="AD81" s="134" t="n">
        <v>9</v>
      </c>
      <c r="AE81" s="137" t="n">
        <v>6</v>
      </c>
      <c r="AF81" s="140" t="n">
        <v>5</v>
      </c>
      <c r="AG81" s="143" t="n">
        <v>11</v>
      </c>
      <c r="AH81" s="146" t="n">
        <v>7</v>
      </c>
      <c r="AI81" s="149" t="n">
        <v>8</v>
      </c>
      <c r="AJ81" s="153" t="n">
        <v>8</v>
      </c>
      <c r="AK81" s="153" t="n">
        <v>21</v>
      </c>
      <c r="AL81" s="155" t="n">
        <v>9</v>
      </c>
      <c r="AM81" s="158" t="n">
        <v>11</v>
      </c>
      <c r="AN81" s="161" t="n">
        <v>17</v>
      </c>
      <c r="AO81" s="161" t="n">
        <v>16</v>
      </c>
      <c r="AP81" s="164" t="n">
        <v>4</v>
      </c>
      <c r="AQ81" s="167" t="n">
        <v>16</v>
      </c>
      <c r="AR81" s="170" t="n">
        <v>5</v>
      </c>
      <c r="AS81" s="173" t="n">
        <v>10</v>
      </c>
      <c r="AT81" s="176" t="n">
        <v>14</v>
      </c>
      <c r="AU81" s="176" t="n">
        <v>15</v>
      </c>
      <c r="AV81" s="179" t="n">
        <v>26</v>
      </c>
      <c r="AW81" s="182" t="n">
        <v>19</v>
      </c>
      <c r="AX81" s="182" t="n">
        <v>17</v>
      </c>
      <c r="AY81" s="185" t="n">
        <v>14</v>
      </c>
      <c r="AZ81" s="188" t="n">
        <v>13</v>
      </c>
      <c r="BA81" s="193" t="n">
        <v>11</v>
      </c>
      <c r="BB81" s="195" t="n">
        <v>26</v>
      </c>
      <c r="BC81" s="197" t="n">
        <v>15</v>
      </c>
      <c r="BD81" s="200" t="n">
        <v>19</v>
      </c>
      <c r="BE81" s="203" t="n">
        <v>22</v>
      </c>
      <c r="BF81" s="203" t="n">
        <v>13</v>
      </c>
      <c r="BG81" s="206" t="n">
        <v>28</v>
      </c>
      <c r="BH81" s="209" t="n">
        <v>23</v>
      </c>
      <c r="BI81" s="209" t="n">
        <v>37</v>
      </c>
      <c r="BJ81" s="209" t="n">
        <v>15</v>
      </c>
      <c r="BK81" s="209" t="n">
        <v>11</v>
      </c>
      <c r="BL81" s="209" t="n">
        <v>17</v>
      </c>
      <c r="BM81" s="209" t="n">
        <v>23</v>
      </c>
      <c r="BN81" s="216" t="n">
        <v>16</v>
      </c>
      <c r="BO81" s="216" t="n">
        <v>14</v>
      </c>
      <c r="BP81" s="216" t="n">
        <v>17</v>
      </c>
      <c r="BQ81" s="216" t="n">
        <v>17</v>
      </c>
    </row>
    <row r="82">
      <c r="A82" s="22">
        <f>"https://open.spotify.com/playlist/" &amp; C82</f>
        <v/>
      </c>
      <c r="B82" s="1" t="inlineStr">
        <is>
          <t>Running 180 BPM À FOND 🔥 | Musique Rapide pour Sport | Playlist Jogging</t>
        </is>
      </c>
      <c r="C82" s="1" t="inlineStr">
        <is>
          <t>1LziVsQzasZGTaDTeljPuH</t>
        </is>
      </c>
      <c r="D82" s="3" t="n">
        <v>227</v>
      </c>
      <c r="E82" s="21" t="n">
        <v>0</v>
      </c>
      <c r="F82" s="26" t="n">
        <v>2</v>
      </c>
      <c r="G82" s="25" t="n">
        <v>0</v>
      </c>
      <c r="H82" s="28" t="n">
        <v>1</v>
      </c>
      <c r="I82" s="31" t="n">
        <v>1</v>
      </c>
      <c r="J82" s="73" t="n">
        <v>1</v>
      </c>
      <c r="K82" s="77" t="n">
        <v>1</v>
      </c>
      <c r="L82" s="78" t="n">
        <v>5</v>
      </c>
      <c r="M82" s="82" t="n">
        <v>2</v>
      </c>
      <c r="N82" s="85" t="n">
        <v>2</v>
      </c>
      <c r="O82" s="89" t="n">
        <v>2</v>
      </c>
      <c r="P82" s="91" t="n">
        <v>4</v>
      </c>
      <c r="Q82" s="94" t="n">
        <v>4</v>
      </c>
      <c r="R82" s="99" t="n">
        <v>1</v>
      </c>
      <c r="S82" s="100" t="n">
        <v>7</v>
      </c>
      <c r="T82" s="103" t="n">
        <v>5</v>
      </c>
      <c r="U82" s="107" t="n">
        <v>1</v>
      </c>
      <c r="V82" s="110" t="n">
        <v>2</v>
      </c>
      <c r="W82" s="113" t="n">
        <v>2</v>
      </c>
      <c r="X82" s="116" t="n">
        <v>1</v>
      </c>
      <c r="Y82" s="119" t="n">
        <v>1</v>
      </c>
      <c r="Z82" s="121" t="n">
        <v>3</v>
      </c>
      <c r="AA82" s="126" t="n">
        <v>3</v>
      </c>
      <c r="AB82" s="128" t="n">
        <v>5</v>
      </c>
      <c r="AC82" s="133" t="n">
        <v>0</v>
      </c>
      <c r="AD82" s="134" t="n">
        <v>5</v>
      </c>
      <c r="AE82" s="139" t="n">
        <v>1</v>
      </c>
      <c r="AF82" s="140" t="n">
        <v>5</v>
      </c>
      <c r="AG82" s="144" t="n">
        <v>2</v>
      </c>
      <c r="AH82" s="146" t="n">
        <v>4</v>
      </c>
      <c r="AI82" s="150" t="n">
        <v>2</v>
      </c>
      <c r="AJ82" s="153" t="n">
        <v>6</v>
      </c>
      <c r="AK82" s="152" t="n">
        <v>2</v>
      </c>
      <c r="AL82" s="157" t="n">
        <v>1</v>
      </c>
      <c r="AM82" s="159" t="n">
        <v>3</v>
      </c>
      <c r="AN82" s="161" t="n">
        <v>6</v>
      </c>
      <c r="AO82" s="161" t="n">
        <v>5</v>
      </c>
      <c r="AP82" s="164" t="n">
        <v>4</v>
      </c>
      <c r="AQ82" s="167" t="n">
        <v>5</v>
      </c>
      <c r="AR82" s="171" t="n">
        <v>1</v>
      </c>
      <c r="AS82" s="174" t="n">
        <v>3</v>
      </c>
      <c r="AT82" s="177" t="n">
        <v>1</v>
      </c>
      <c r="AU82" s="176" t="n">
        <v>9</v>
      </c>
      <c r="AV82" s="179" t="n">
        <v>10</v>
      </c>
      <c r="AW82" s="184" t="n">
        <v>2</v>
      </c>
      <c r="AX82" s="184" t="n">
        <v>3</v>
      </c>
      <c r="AY82" s="186" t="n">
        <v>1</v>
      </c>
      <c r="AZ82" s="188" t="n">
        <v>4</v>
      </c>
      <c r="BA82" s="193" t="n">
        <v>6</v>
      </c>
      <c r="BB82" s="195" t="n">
        <v>5</v>
      </c>
      <c r="BC82" s="198" t="n">
        <v>1</v>
      </c>
      <c r="BD82" s="201" t="n">
        <v>3</v>
      </c>
      <c r="BE82" s="204" t="n">
        <v>3</v>
      </c>
      <c r="BF82" s="203" t="n">
        <v>5</v>
      </c>
      <c r="BG82" s="206" t="n">
        <v>6</v>
      </c>
      <c r="BH82" s="209" t="n">
        <v>4</v>
      </c>
      <c r="BI82" s="209" t="n">
        <v>7</v>
      </c>
      <c r="BJ82" s="209" t="n">
        <v>6</v>
      </c>
      <c r="BK82" s="209" t="n">
        <v>7</v>
      </c>
      <c r="BL82" s="209" t="n">
        <v>9</v>
      </c>
      <c r="BM82" s="209" t="n">
        <v>4</v>
      </c>
      <c r="BN82" s="216" t="n">
        <v>4</v>
      </c>
      <c r="BO82" s="216" t="n">
        <v>6</v>
      </c>
      <c r="BP82" s="216" t="n">
        <v>5</v>
      </c>
      <c r="BQ82" s="214" t="n">
        <v>1</v>
      </c>
    </row>
    <row r="83">
      <c r="A83" s="22">
        <f>"https://open.spotify.com/playlist/" &amp; C83</f>
        <v/>
      </c>
      <c r="B83" s="1" t="inlineStr">
        <is>
          <t>Beatport Top 100 | Raw Techno, Deep Techno, Hypnotic Techno Charts 2026 🖤🔊</t>
        </is>
      </c>
      <c r="C83" s="1" t="inlineStr">
        <is>
          <t>6oGhBUaNe8cZL4Sdte4Qm5</t>
        </is>
      </c>
      <c r="D83" s="3" t="n">
        <v>112</v>
      </c>
      <c r="E83" s="21" t="n">
        <v>0</v>
      </c>
      <c r="F83" s="25" t="n">
        <v>0</v>
      </c>
      <c r="G83" s="26" t="n">
        <v>2</v>
      </c>
      <c r="H83" s="28" t="n">
        <v>3</v>
      </c>
      <c r="I83" s="31" t="n">
        <v>1</v>
      </c>
      <c r="J83" s="73" t="n">
        <v>2</v>
      </c>
      <c r="K83" s="76" t="n">
        <v>0</v>
      </c>
      <c r="L83" s="79" t="n">
        <v>2</v>
      </c>
      <c r="M83" s="82" t="n">
        <v>3</v>
      </c>
      <c r="N83" s="85" t="n">
        <v>3</v>
      </c>
      <c r="O83" s="89" t="n">
        <v>2</v>
      </c>
      <c r="P83" s="92" t="n">
        <v>1</v>
      </c>
      <c r="Q83" s="95" t="n">
        <v>3</v>
      </c>
      <c r="R83" s="99" t="n">
        <v>2</v>
      </c>
      <c r="S83" s="101" t="n">
        <v>2</v>
      </c>
      <c r="T83" s="105" t="n">
        <v>0</v>
      </c>
      <c r="U83" s="107" t="n">
        <v>2</v>
      </c>
      <c r="V83" s="109" t="n">
        <v>4</v>
      </c>
      <c r="W83" s="112" t="n">
        <v>5</v>
      </c>
      <c r="X83" s="116" t="n">
        <v>1</v>
      </c>
      <c r="Y83" s="119" t="n">
        <v>2</v>
      </c>
      <c r="Z83" s="121" t="n">
        <v>2</v>
      </c>
      <c r="AA83" s="126" t="n">
        <v>1</v>
      </c>
      <c r="AB83" s="129" t="n">
        <v>1</v>
      </c>
      <c r="AC83" s="133" t="n">
        <v>0</v>
      </c>
      <c r="AD83" s="135" t="n">
        <v>1</v>
      </c>
      <c r="AE83" s="139" t="n">
        <v>2</v>
      </c>
      <c r="AF83" s="141" t="n">
        <v>1</v>
      </c>
      <c r="AG83" s="144" t="n">
        <v>1</v>
      </c>
      <c r="AH83" s="148" t="n">
        <v>0</v>
      </c>
      <c r="AI83" s="150" t="n">
        <v>1</v>
      </c>
      <c r="AJ83" s="152" t="n">
        <v>2</v>
      </c>
      <c r="AK83" s="153" t="n">
        <v>4</v>
      </c>
      <c r="AL83" s="157" t="n">
        <v>2</v>
      </c>
      <c r="AM83" s="160" t="n">
        <v>-1</v>
      </c>
      <c r="AN83" s="162" t="n">
        <v>1</v>
      </c>
      <c r="AO83" s="162" t="n">
        <v>1</v>
      </c>
      <c r="AP83" s="165" t="n">
        <v>2</v>
      </c>
      <c r="AQ83" s="169" t="n">
        <v>0</v>
      </c>
      <c r="AR83" s="171" t="n">
        <v>1</v>
      </c>
      <c r="AS83" s="174" t="n">
        <v>2</v>
      </c>
      <c r="AT83" s="178" t="n">
        <v>0</v>
      </c>
      <c r="AU83" s="178" t="n">
        <v>-1</v>
      </c>
      <c r="AV83" s="181" t="n">
        <v>0</v>
      </c>
      <c r="AW83" s="183" t="n">
        <v>0</v>
      </c>
      <c r="AX83" s="183" t="n">
        <v>0</v>
      </c>
      <c r="AY83" s="186" t="n">
        <v>3</v>
      </c>
      <c r="AZ83" s="190" t="n">
        <v>2</v>
      </c>
      <c r="BA83" s="192" t="n">
        <v>-1</v>
      </c>
      <c r="BB83" s="194" t="n">
        <v>1</v>
      </c>
      <c r="BC83" s="199" t="n">
        <v>0</v>
      </c>
      <c r="BD83" s="202" t="n">
        <v>-1</v>
      </c>
      <c r="BE83" s="204" t="n">
        <v>1</v>
      </c>
      <c r="BF83" s="205" t="n">
        <v>0</v>
      </c>
      <c r="BG83" s="207" t="n">
        <v>3</v>
      </c>
      <c r="BH83" s="211" t="n">
        <v>0</v>
      </c>
      <c r="BI83" s="210" t="n">
        <v>1</v>
      </c>
      <c r="BJ83" s="210" t="n">
        <v>1</v>
      </c>
      <c r="BK83" s="210" t="n">
        <v>1</v>
      </c>
      <c r="BL83" s="210" t="n">
        <v>2</v>
      </c>
      <c r="BM83" s="211" t="n">
        <v>0</v>
      </c>
      <c r="BN83" s="215" t="n">
        <v>0</v>
      </c>
      <c r="BO83" s="215" t="n">
        <v>-1</v>
      </c>
      <c r="BP83" s="214" t="n">
        <v>1</v>
      </c>
      <c r="BQ83" s="214" t="n">
        <v>2</v>
      </c>
    </row>
    <row r="84">
      <c r="A84" s="22">
        <f>"https://open.spotify.com/playlist/" &amp; C84</f>
        <v/>
      </c>
      <c r="B84" s="1" t="inlineStr">
        <is>
          <t>Dreamy Vibes 2026 | Ethnic House, Melodic Techno, Minimal Techno, Chill Piano 🌙✨</t>
        </is>
      </c>
      <c r="C84" s="1" t="inlineStr">
        <is>
          <t>0oBc3ihmtnWVBgnfQjgLWr</t>
        </is>
      </c>
      <c r="D84" s="3" t="n">
        <v>25</v>
      </c>
      <c r="E84" s="21" t="n">
        <v>0</v>
      </c>
      <c r="F84" s="26" t="n">
        <v>1</v>
      </c>
      <c r="G84" s="26" t="n">
        <v>1</v>
      </c>
      <c r="H84" s="28" t="n">
        <v>1</v>
      </c>
      <c r="I84" s="31" t="n">
        <v>1</v>
      </c>
      <c r="J84" s="74" t="n">
        <v>0</v>
      </c>
      <c r="K84" s="76" t="n">
        <v>0</v>
      </c>
      <c r="L84" s="80" t="n">
        <v>0</v>
      </c>
      <c r="M84" s="82" t="n">
        <v>2</v>
      </c>
      <c r="N84" s="86" t="n">
        <v>0</v>
      </c>
      <c r="O84" s="90" t="n">
        <v>0</v>
      </c>
      <c r="P84" s="93" t="n">
        <v>0</v>
      </c>
      <c r="Q84" s="96" t="n">
        <v>0</v>
      </c>
      <c r="R84" s="98" t="n">
        <v>0</v>
      </c>
      <c r="S84" s="102" t="n">
        <v>0</v>
      </c>
      <c r="T84" s="105" t="n">
        <v>0</v>
      </c>
      <c r="U84" s="107" t="n">
        <v>1</v>
      </c>
      <c r="V84" s="111" t="n">
        <v>0</v>
      </c>
      <c r="W84" s="114" t="n">
        <v>0</v>
      </c>
      <c r="X84" s="117" t="n">
        <v>0</v>
      </c>
      <c r="Y84" s="120" t="n">
        <v>0</v>
      </c>
      <c r="Z84" s="123" t="n">
        <v>0</v>
      </c>
      <c r="AA84" s="127" t="n">
        <v>0</v>
      </c>
      <c r="AB84" s="130" t="n">
        <v>0</v>
      </c>
      <c r="AC84" s="133" t="n">
        <v>0</v>
      </c>
      <c r="AD84" s="136" t="n">
        <v>0</v>
      </c>
      <c r="AE84" s="138" t="n">
        <v>0</v>
      </c>
      <c r="AF84" s="142" t="n">
        <v>0</v>
      </c>
      <c r="AG84" s="145" t="n">
        <v>0</v>
      </c>
      <c r="AH84" s="148" t="n">
        <v>0</v>
      </c>
      <c r="AI84" s="151" t="n">
        <v>0</v>
      </c>
      <c r="AJ84" s="154" t="n">
        <v>0</v>
      </c>
      <c r="AK84" s="154" t="n">
        <v>0</v>
      </c>
      <c r="AL84" s="156" t="n">
        <v>0</v>
      </c>
      <c r="AM84" s="160" t="n">
        <v>0</v>
      </c>
      <c r="AN84" s="163" t="n">
        <v>-1</v>
      </c>
      <c r="AO84" s="163" t="n">
        <v>0</v>
      </c>
      <c r="AP84" s="166" t="n">
        <v>0</v>
      </c>
      <c r="AQ84" s="168" t="n">
        <v>1</v>
      </c>
      <c r="AR84" s="172" t="n">
        <v>0</v>
      </c>
      <c r="AS84" s="175" t="n">
        <v>0</v>
      </c>
      <c r="AT84" s="178" t="n">
        <v>0</v>
      </c>
      <c r="AU84" s="177" t="n">
        <v>1</v>
      </c>
      <c r="AV84" s="181" t="n">
        <v>0</v>
      </c>
      <c r="AW84" s="183" t="n">
        <v>0</v>
      </c>
      <c r="AX84" s="184" t="n">
        <v>1</v>
      </c>
      <c r="AY84" s="187" t="n">
        <v>0</v>
      </c>
      <c r="AZ84" s="189" t="n">
        <v>0</v>
      </c>
      <c r="BA84" s="192" t="n">
        <v>0</v>
      </c>
      <c r="BB84" s="196" t="n">
        <v>0</v>
      </c>
      <c r="BC84" s="199" t="n">
        <v>0</v>
      </c>
      <c r="BD84" s="202" t="n">
        <v>0</v>
      </c>
      <c r="BE84" s="205" t="n">
        <v>0</v>
      </c>
      <c r="BF84" s="205" t="n">
        <v>0</v>
      </c>
      <c r="BG84" s="208" t="n">
        <v>0</v>
      </c>
      <c r="BH84" s="211" t="n">
        <v>-1</v>
      </c>
      <c r="BI84" s="211" t="n">
        <v>0</v>
      </c>
      <c r="BJ84" s="211" t="n">
        <v>0</v>
      </c>
      <c r="BK84" s="211" t="n">
        <v>0</v>
      </c>
      <c r="BL84" s="211" t="n">
        <v>0</v>
      </c>
      <c r="BM84" s="211" t="n">
        <v>0</v>
      </c>
      <c r="BN84" s="215" t="n">
        <v>0</v>
      </c>
      <c r="BO84" s="215" t="n">
        <v>0</v>
      </c>
      <c r="BP84" s="215" t="n">
        <v>0</v>
      </c>
      <c r="BQ84" s="215" t="n">
        <v>0</v>
      </c>
    </row>
    <row r="85">
      <c r="A85" s="22">
        <f>"https://open.spotify.com/playlist/" &amp; C85</f>
        <v/>
      </c>
      <c r="B85" s="1" t="inlineStr">
        <is>
          <t>Theta Waves | Binaural Beats, Theta Frequencies for Deep Relaxation 2026 📚✨</t>
        </is>
      </c>
      <c r="C85" s="1" t="inlineStr">
        <is>
          <t>3tNqsQ3eQpovvgWmMfnVhL</t>
        </is>
      </c>
      <c r="D85" s="3" t="n">
        <v>53</v>
      </c>
      <c r="E85" s="21" t="n">
        <v>0</v>
      </c>
      <c r="F85" s="25" t="n">
        <v>0</v>
      </c>
      <c r="G85" s="26" t="n">
        <v>3</v>
      </c>
      <c r="H85" s="29" t="n">
        <v>0</v>
      </c>
      <c r="I85" s="31" t="n">
        <v>2</v>
      </c>
      <c r="J85" s="73" t="n">
        <v>1</v>
      </c>
      <c r="K85" s="76" t="n">
        <v>0</v>
      </c>
      <c r="L85" s="79" t="n">
        <v>1</v>
      </c>
      <c r="M85" s="83" t="n">
        <v>0</v>
      </c>
      <c r="N85" s="85" t="n">
        <v>1</v>
      </c>
      <c r="O85" s="89" t="n">
        <v>3</v>
      </c>
      <c r="P85" s="93" t="n">
        <v>0</v>
      </c>
      <c r="Q85" s="95" t="n">
        <v>2</v>
      </c>
      <c r="R85" s="99" t="n">
        <v>3</v>
      </c>
      <c r="S85" s="101" t="n">
        <v>1</v>
      </c>
      <c r="T85" s="105" t="n">
        <v>0</v>
      </c>
      <c r="U85" s="107" t="n">
        <v>1</v>
      </c>
      <c r="V85" s="111" t="n">
        <v>0</v>
      </c>
      <c r="W85" s="113" t="n">
        <v>2</v>
      </c>
      <c r="X85" s="117" t="n">
        <v>0</v>
      </c>
      <c r="Y85" s="120" t="n">
        <v>0</v>
      </c>
      <c r="Z85" s="123" t="n">
        <v>0</v>
      </c>
      <c r="AA85" s="127" t="n">
        <v>-1</v>
      </c>
      <c r="AB85" s="129" t="n">
        <v>2</v>
      </c>
      <c r="AC85" s="132" t="n">
        <v>1</v>
      </c>
      <c r="AD85" s="136" t="n">
        <v>0</v>
      </c>
      <c r="AE85" s="139" t="n">
        <v>2</v>
      </c>
      <c r="AF85" s="141" t="n">
        <v>2</v>
      </c>
      <c r="AG85" s="145" t="n">
        <v>0</v>
      </c>
      <c r="AH85" s="148" t="n">
        <v>-1</v>
      </c>
      <c r="AI85" s="150" t="n">
        <v>1</v>
      </c>
      <c r="AJ85" s="152" t="n">
        <v>1</v>
      </c>
      <c r="AK85" s="154" t="n">
        <v>0</v>
      </c>
      <c r="AL85" s="157" t="n">
        <v>1</v>
      </c>
      <c r="AM85" s="159" t="n">
        <v>3</v>
      </c>
      <c r="AN85" s="163" t="n">
        <v>0</v>
      </c>
      <c r="AO85" s="163" t="n">
        <v>0</v>
      </c>
      <c r="AP85" s="165" t="n">
        <v>1</v>
      </c>
      <c r="AQ85" s="168" t="n">
        <v>1</v>
      </c>
      <c r="AR85" s="172" t="n">
        <v>0</v>
      </c>
      <c r="AS85" s="175" t="n">
        <v>0</v>
      </c>
      <c r="AT85" s="178" t="n">
        <v>0</v>
      </c>
      <c r="AU85" s="178" t="n">
        <v>0</v>
      </c>
      <c r="AV85" s="181" t="n">
        <v>0</v>
      </c>
      <c r="AW85" s="184" t="n">
        <v>1</v>
      </c>
      <c r="AX85" s="183" t="n">
        <v>0</v>
      </c>
      <c r="AY85" s="187" t="n">
        <v>0</v>
      </c>
      <c r="AZ85" s="189" t="n">
        <v>0</v>
      </c>
      <c r="BA85" s="192" t="n">
        <v>0</v>
      </c>
      <c r="BB85" s="196" t="n">
        <v>0</v>
      </c>
      <c r="BC85" s="198" t="n">
        <v>1</v>
      </c>
      <c r="BD85" s="202" t="n">
        <v>0</v>
      </c>
      <c r="BE85" s="205" t="n">
        <v>0</v>
      </c>
      <c r="BF85" s="205" t="n">
        <v>0</v>
      </c>
      <c r="BG85" s="208" t="n">
        <v>0</v>
      </c>
      <c r="BH85" s="211" t="n">
        <v>0</v>
      </c>
      <c r="BI85" s="211" t="n">
        <v>0</v>
      </c>
      <c r="BJ85" s="211" t="n">
        <v>0</v>
      </c>
      <c r="BK85" s="211" t="n">
        <v>0</v>
      </c>
      <c r="BL85" s="211" t="n">
        <v>0</v>
      </c>
      <c r="BM85" s="211" t="n">
        <v>0</v>
      </c>
      <c r="BN85" s="215" t="n">
        <v>0</v>
      </c>
      <c r="BO85" s="215" t="n">
        <v>0</v>
      </c>
      <c r="BP85" s="214" t="n">
        <v>1</v>
      </c>
      <c r="BQ85" s="214" t="n">
        <v>1</v>
      </c>
    </row>
    <row r="86">
      <c r="A86" s="22">
        <f>"https://open.spotify.com/playlist/" &amp; C86</f>
        <v/>
      </c>
      <c r="B86" s="1" t="inlineStr">
        <is>
          <t>ADHD Techno | Hyperfocus Beats, Driving Techno, Deep Focus Energy 2026 🧠⚡</t>
        </is>
      </c>
      <c r="C86" s="1" t="inlineStr">
        <is>
          <t>4D7MgcNzD0W55Wgr19zJqi</t>
        </is>
      </c>
      <c r="D86" s="3" t="n">
        <v>243</v>
      </c>
      <c r="E86" s="21" t="n">
        <v>-1</v>
      </c>
      <c r="F86" s="26" t="n">
        <v>3</v>
      </c>
      <c r="G86" s="26" t="n">
        <v>2</v>
      </c>
      <c r="H86" s="27" t="n">
        <v>7</v>
      </c>
      <c r="I86" s="30" t="n">
        <v>7</v>
      </c>
      <c r="J86" s="73" t="n">
        <v>3</v>
      </c>
      <c r="K86" s="77" t="n">
        <v>2</v>
      </c>
      <c r="L86" s="79" t="n">
        <v>1</v>
      </c>
      <c r="M86" s="82" t="n">
        <v>2</v>
      </c>
      <c r="N86" s="85" t="n">
        <v>2</v>
      </c>
      <c r="O86" s="88" t="n">
        <v>8</v>
      </c>
      <c r="P86" s="92" t="n">
        <v>3</v>
      </c>
      <c r="Q86" s="95" t="n">
        <v>1</v>
      </c>
      <c r="R86" s="99" t="n">
        <v>2</v>
      </c>
      <c r="S86" s="101" t="n">
        <v>2</v>
      </c>
      <c r="T86" s="104" t="n">
        <v>2</v>
      </c>
      <c r="U86" s="106" t="n">
        <v>8</v>
      </c>
      <c r="V86" s="110" t="n">
        <v>3</v>
      </c>
      <c r="W86" s="112" t="n">
        <v>8</v>
      </c>
      <c r="X86" s="115" t="n">
        <v>4</v>
      </c>
      <c r="Y86" s="119" t="n">
        <v>3</v>
      </c>
      <c r="Z86" s="122" t="n">
        <v>5</v>
      </c>
      <c r="AA86" s="125" t="n">
        <v>4</v>
      </c>
      <c r="AB86" s="128" t="n">
        <v>8</v>
      </c>
      <c r="AC86" s="131" t="n">
        <v>6</v>
      </c>
      <c r="AD86" s="135" t="n">
        <v>2</v>
      </c>
      <c r="AE86" s="137" t="n">
        <v>9</v>
      </c>
      <c r="AF86" s="141" t="n">
        <v>1</v>
      </c>
      <c r="AG86" s="144" t="n">
        <v>3</v>
      </c>
      <c r="AH86" s="147" t="n">
        <v>1</v>
      </c>
      <c r="AI86" s="150" t="n">
        <v>3</v>
      </c>
      <c r="AJ86" s="152" t="n">
        <v>3</v>
      </c>
      <c r="AK86" s="152" t="n">
        <v>3</v>
      </c>
      <c r="AL86" s="157" t="n">
        <v>1</v>
      </c>
      <c r="AM86" s="158" t="n">
        <v>4</v>
      </c>
      <c r="AN86" s="162" t="n">
        <v>1</v>
      </c>
      <c r="AO86" s="162" t="n">
        <v>1</v>
      </c>
      <c r="AP86" s="165" t="n">
        <v>3</v>
      </c>
      <c r="AQ86" s="168" t="n">
        <v>2</v>
      </c>
      <c r="AR86" s="170" t="n">
        <v>5</v>
      </c>
      <c r="AS86" s="173" t="n">
        <v>5</v>
      </c>
      <c r="AT86" s="177" t="n">
        <v>2</v>
      </c>
      <c r="AU86" s="176" t="n">
        <v>5</v>
      </c>
      <c r="AV86" s="179" t="n">
        <v>5</v>
      </c>
      <c r="AW86" s="182" t="n">
        <v>7</v>
      </c>
      <c r="AX86" s="184" t="n">
        <v>1</v>
      </c>
      <c r="AY86" s="187" t="n">
        <v>0</v>
      </c>
      <c r="AZ86" s="188" t="n">
        <v>4</v>
      </c>
      <c r="BA86" s="191" t="n">
        <v>1</v>
      </c>
      <c r="BB86" s="194" t="n">
        <v>2</v>
      </c>
      <c r="BC86" s="198" t="n">
        <v>3</v>
      </c>
      <c r="BD86" s="201" t="n">
        <v>3</v>
      </c>
      <c r="BE86" s="204" t="n">
        <v>3</v>
      </c>
      <c r="BF86" s="203" t="n">
        <v>5</v>
      </c>
      <c r="BG86" s="206" t="n">
        <v>5</v>
      </c>
      <c r="BH86" s="210" t="n">
        <v>2</v>
      </c>
      <c r="BI86" s="209" t="n">
        <v>6</v>
      </c>
      <c r="BJ86" s="210" t="n">
        <v>1</v>
      </c>
      <c r="BK86" s="209" t="n">
        <v>6</v>
      </c>
      <c r="BL86" s="210" t="n">
        <v>2</v>
      </c>
      <c r="BM86" s="210" t="n">
        <v>2</v>
      </c>
      <c r="BN86" s="215" t="n">
        <v>0</v>
      </c>
      <c r="BO86" s="214" t="n">
        <v>3</v>
      </c>
      <c r="BP86" s="216" t="n">
        <v>5</v>
      </c>
      <c r="BQ86" s="216" t="n">
        <v>7</v>
      </c>
    </row>
    <row r="87">
      <c r="A87" s="22">
        <f>"https://open.spotify.com/playlist/" &amp; C87</f>
        <v/>
      </c>
      <c r="B87" s="1" t="inlineStr">
        <is>
          <t>MAXIMALE Spinning 160 BPM 🔥 Indoor Cycling Playlist | Energieke Cardio Muziek</t>
        </is>
      </c>
      <c r="C87" s="1" t="inlineStr">
        <is>
          <t>5GTe3JUNIBVxPNquv6kD6Q</t>
        </is>
      </c>
      <c r="D87" s="3" t="n">
        <v>42</v>
      </c>
      <c r="E87" s="21" t="n">
        <v>-1</v>
      </c>
      <c r="F87" s="26" t="n">
        <v>1</v>
      </c>
      <c r="G87" s="25" t="n">
        <v>0</v>
      </c>
      <c r="H87" s="28" t="n">
        <v>1</v>
      </c>
      <c r="I87" s="32" t="n">
        <v>0</v>
      </c>
      <c r="J87" s="74" t="n">
        <v>0</v>
      </c>
      <c r="K87" s="76" t="n">
        <v>0</v>
      </c>
      <c r="L87" s="79" t="n">
        <v>2</v>
      </c>
      <c r="M87" s="82" t="n">
        <v>2</v>
      </c>
      <c r="N87" s="85" t="n">
        <v>2</v>
      </c>
      <c r="O87" s="88" t="n">
        <v>4</v>
      </c>
      <c r="P87" s="93" t="n">
        <v>0</v>
      </c>
      <c r="Q87" s="96" t="n">
        <v>0</v>
      </c>
      <c r="R87" s="99" t="n">
        <v>1</v>
      </c>
      <c r="S87" s="101" t="n">
        <v>1</v>
      </c>
      <c r="T87" s="104" t="n">
        <v>1</v>
      </c>
      <c r="U87" s="107" t="n">
        <v>1</v>
      </c>
      <c r="V87" s="110" t="n">
        <v>1</v>
      </c>
      <c r="W87" s="113" t="n">
        <v>2</v>
      </c>
      <c r="X87" s="116" t="n">
        <v>1</v>
      </c>
      <c r="Y87" s="119" t="n">
        <v>2</v>
      </c>
      <c r="Z87" s="123" t="n">
        <v>0</v>
      </c>
      <c r="AA87" s="127" t="n">
        <v>0</v>
      </c>
      <c r="AB87" s="129" t="n">
        <v>1</v>
      </c>
      <c r="AC87" s="132" t="n">
        <v>1</v>
      </c>
      <c r="AD87" s="135" t="n">
        <v>1</v>
      </c>
      <c r="AE87" s="138" t="n">
        <v>0</v>
      </c>
      <c r="AF87" s="142" t="n">
        <v>0</v>
      </c>
      <c r="AG87" s="145" t="n">
        <v>0</v>
      </c>
      <c r="AH87" s="148" t="n">
        <v>0</v>
      </c>
      <c r="AI87" s="151" t="n">
        <v>0</v>
      </c>
      <c r="AJ87" s="154" t="n">
        <v>0</v>
      </c>
      <c r="AK87" s="154" t="n">
        <v>0</v>
      </c>
      <c r="AL87" s="156" t="n">
        <v>0</v>
      </c>
      <c r="AM87" s="160" t="n">
        <v>0</v>
      </c>
      <c r="AN87" s="162" t="n">
        <v>1</v>
      </c>
      <c r="AO87" s="162" t="n">
        <v>0</v>
      </c>
      <c r="AP87" s="166" t="n">
        <v>0</v>
      </c>
      <c r="AQ87" s="169" t="n">
        <v>0</v>
      </c>
      <c r="AR87" s="172" t="n">
        <v>0</v>
      </c>
      <c r="AS87" s="174" t="n">
        <v>1</v>
      </c>
      <c r="AT87" s="178" t="n">
        <v>0</v>
      </c>
      <c r="AU87" s="177" t="n">
        <v>2</v>
      </c>
      <c r="AV87" s="180" t="n">
        <v>1</v>
      </c>
      <c r="AW87" s="183" t="n">
        <v>0</v>
      </c>
      <c r="AX87" s="183" t="n">
        <v>0</v>
      </c>
      <c r="AY87" s="187" t="n">
        <v>0</v>
      </c>
      <c r="AZ87" s="189" t="n">
        <v>0</v>
      </c>
      <c r="BA87" s="191" t="n">
        <v>1</v>
      </c>
      <c r="BB87" s="196" t="n">
        <v>0</v>
      </c>
      <c r="BC87" s="198" t="n">
        <v>1</v>
      </c>
      <c r="BD87" s="202" t="n">
        <v>0</v>
      </c>
      <c r="BE87" s="205" t="n">
        <v>0</v>
      </c>
      <c r="BF87" s="204" t="n">
        <v>2</v>
      </c>
      <c r="BG87" s="208" t="n">
        <v>0</v>
      </c>
      <c r="BH87" s="210" t="n">
        <v>1</v>
      </c>
      <c r="BI87" s="211" t="n">
        <v>0</v>
      </c>
      <c r="BJ87" s="211" t="n">
        <v>0</v>
      </c>
      <c r="BK87" s="211" t="n">
        <v>0</v>
      </c>
      <c r="BL87" s="211" t="n">
        <v>0</v>
      </c>
      <c r="BM87" s="211" t="n">
        <v>0</v>
      </c>
      <c r="BN87" s="215" t="n">
        <v>0</v>
      </c>
      <c r="BO87" s="215" t="n">
        <v>0</v>
      </c>
      <c r="BP87" s="214" t="n">
        <v>1</v>
      </c>
      <c r="BQ87" s="215" t="n">
        <v>0</v>
      </c>
    </row>
  </sheetData>
  <autoFilter ref="A1:E1">
    <sortState ref="A2:E87">
      <sortCondition descending="1" ref="E1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1"/>
  <sheetViews>
    <sheetView tabSelected="1" zoomScale="85" zoomScaleNormal="85" workbookViewId="0">
      <pane ySplit="1" topLeftCell="A52" activePane="bottomLeft" state="frozen"/>
      <selection pane="bottomLeft" activeCell="BA1" sqref="BA1:BA1048576"/>
    </sheetView>
  </sheetViews>
  <sheetFormatPr baseColWidth="8" defaultRowHeight="15"/>
  <cols>
    <col width="34.85546875" customWidth="1" style="22" min="1" max="1"/>
    <col width="68.5703125" customWidth="1" style="1" min="2" max="2"/>
    <col width="23.5703125" customWidth="1" style="1" min="3" max="3"/>
    <col width="5.5703125" customWidth="1" style="3" min="4" max="4"/>
    <col width="5.5703125" customWidth="1" min="5" max="22"/>
    <col width="4.28515625" customWidth="1" min="23" max="24"/>
    <col width="5" customWidth="1" min="25" max="32"/>
  </cols>
  <sheetData>
    <row r="1">
      <c r="A1" s="22" t="inlineStr">
        <is>
          <t>URL</t>
        </is>
      </c>
      <c r="B1" s="1" t="inlineStr">
        <is>
          <t>Name</t>
        </is>
      </c>
      <c r="C1" s="1" t="inlineStr">
        <is>
          <t>PlaylistID</t>
        </is>
      </c>
      <c r="D1" s="3" t="inlineStr">
        <is>
          <t>Followers</t>
        </is>
      </c>
      <c r="E1" t="inlineStr">
        <is>
          <t>2026-03-01</t>
        </is>
      </c>
      <c r="F1" t="inlineStr">
        <is>
          <t>2026-03-02</t>
        </is>
      </c>
      <c r="G1" t="inlineStr">
        <is>
          <t>2026-03-03</t>
        </is>
      </c>
      <c r="H1" t="inlineStr">
        <is>
          <t>2026-03-04</t>
        </is>
      </c>
      <c r="I1" t="inlineStr">
        <is>
          <t>2026-03-05</t>
        </is>
      </c>
      <c r="J1" t="inlineStr">
        <is>
          <t>2026-03-06</t>
        </is>
      </c>
      <c r="K1" t="inlineStr">
        <is>
          <t>2026-03-07</t>
        </is>
      </c>
      <c r="L1" t="inlineStr">
        <is>
          <t>2026-03-08</t>
        </is>
      </c>
      <c r="M1" t="inlineStr">
        <is>
          <t>2026-03-09</t>
        </is>
      </c>
      <c r="N1" t="inlineStr">
        <is>
          <t>2026-03-10</t>
        </is>
      </c>
      <c r="O1" t="inlineStr">
        <is>
          <t>2026-03-11</t>
        </is>
      </c>
      <c r="P1" t="inlineStr">
        <is>
          <t>2026-03-12</t>
        </is>
      </c>
      <c r="Q1" t="inlineStr">
        <is>
          <t>2026-03-13</t>
        </is>
      </c>
      <c r="R1" t="inlineStr">
        <is>
          <t>2026-03-14</t>
        </is>
      </c>
      <c r="S1" t="inlineStr">
        <is>
          <t>2026-03-15</t>
        </is>
      </c>
      <c r="T1" t="inlineStr">
        <is>
          <t>2026-03-16</t>
        </is>
      </c>
      <c r="U1" t="inlineStr">
        <is>
          <t>2026-03-17</t>
        </is>
      </c>
      <c r="V1" t="inlineStr">
        <is>
          <t>2026-03-18</t>
        </is>
      </c>
      <c r="W1" t="inlineStr">
        <is>
          <t>2026-03-19</t>
        </is>
      </c>
      <c r="X1" t="inlineStr">
        <is>
          <t>2026-03-20</t>
        </is>
      </c>
      <c r="Y1" t="inlineStr">
        <is>
          <t>2026-03-21</t>
        </is>
      </c>
      <c r="Z1" t="inlineStr">
        <is>
          <t>2026-03-22</t>
        </is>
      </c>
      <c r="AA1" t="inlineStr">
        <is>
          <t>2026-03-23</t>
        </is>
      </c>
      <c r="AB1" t="inlineStr">
        <is>
          <t>2026-03-24</t>
        </is>
      </c>
      <c r="AC1" t="inlineStr">
        <is>
          <t>2026-03-25</t>
        </is>
      </c>
      <c r="AD1" t="inlineStr">
        <is>
          <t>2026-03-26</t>
        </is>
      </c>
      <c r="AE1" t="inlineStr">
        <is>
          <t>2026-03-27</t>
        </is>
      </c>
      <c r="AF1" t="inlineStr">
        <is>
          <t>2026-03-28</t>
        </is>
      </c>
      <c r="AG1" t="inlineStr">
        <is>
          <t>2026-03-29</t>
        </is>
      </c>
      <c r="AH1" t="inlineStr">
        <is>
          <t>2026-03-30</t>
        </is>
      </c>
      <c r="AI1" t="inlineStr">
        <is>
          <t>2026-03-31</t>
        </is>
      </c>
      <c r="AJ1" t="inlineStr">
        <is>
          <t>2026-04-01</t>
        </is>
      </c>
      <c r="AK1" t="inlineStr">
        <is>
          <t>2026-04-02</t>
        </is>
      </c>
      <c r="AL1" t="inlineStr">
        <is>
          <t>2026-04-03</t>
        </is>
      </c>
      <c r="AM1" t="inlineStr">
        <is>
          <t>2026-04-04</t>
        </is>
      </c>
      <c r="AN1" s="2" t="n">
        <v>46117</v>
      </c>
      <c r="AO1" t="inlineStr">
        <is>
          <t>2026-04-06</t>
        </is>
      </c>
      <c r="AP1" t="inlineStr">
        <is>
          <t>2026-04-07</t>
        </is>
      </c>
      <c r="AQ1" t="inlineStr">
        <is>
          <t>2026-04-08</t>
        </is>
      </c>
      <c r="AR1" t="inlineStr">
        <is>
          <t>2026-04-09</t>
        </is>
      </c>
      <c r="AS1" t="inlineStr">
        <is>
          <t>2026-04-10</t>
        </is>
      </c>
      <c r="AT1" t="inlineStr">
        <is>
          <t>2026-04-11</t>
        </is>
      </c>
      <c r="AU1" t="inlineStr">
        <is>
          <t>2026-04-12</t>
        </is>
      </c>
      <c r="AV1" t="inlineStr">
        <is>
          <t>2026-04-13</t>
        </is>
      </c>
      <c r="AW1" t="inlineStr">
        <is>
          <t>2026-04-14</t>
        </is>
      </c>
      <c r="AX1" t="inlineStr">
        <is>
          <t>2026-04-15</t>
        </is>
      </c>
      <c r="AY1" t="inlineStr">
        <is>
          <t>2026-04-16</t>
        </is>
      </c>
      <c r="AZ1" t="inlineStr">
        <is>
          <t>2026-04-17</t>
        </is>
      </c>
      <c r="BA1" t="inlineStr">
        <is>
          <t>2026-04-18</t>
        </is>
      </c>
      <c r="BB1" t="inlineStr">
        <is>
          <t>2026-04-19</t>
        </is>
      </c>
      <c r="BC1" t="inlineStr">
        <is>
          <t>2026-04-20</t>
        </is>
      </c>
      <c r="BD1" t="inlineStr">
        <is>
          <t>2026-04-21</t>
        </is>
      </c>
      <c r="BE1" t="inlineStr">
        <is>
          <t>2026-04-22</t>
        </is>
      </c>
      <c r="BF1" t="inlineStr">
        <is>
          <t>2026-04-23</t>
        </is>
      </c>
      <c r="BG1" t="inlineStr">
        <is>
          <t>2026-04-25</t>
        </is>
      </c>
      <c r="BH1" t="inlineStr">
        <is>
          <t>2026-04-26</t>
        </is>
      </c>
      <c r="BI1" t="inlineStr">
        <is>
          <t>2026-04-28</t>
        </is>
      </c>
      <c r="BJ1" t="inlineStr">
        <is>
          <t>2026-04-29</t>
        </is>
      </c>
      <c r="BK1" t="inlineStr">
        <is>
          <t>2026-04-30</t>
        </is>
      </c>
      <c r="BL1" t="inlineStr">
        <is>
          <t>2026-05-01</t>
        </is>
      </c>
      <c r="BM1" t="inlineStr">
        <is>
          <t>2026-05-02</t>
        </is>
      </c>
      <c r="BN1" t="inlineStr">
        <is>
          <t>2026-05-03</t>
        </is>
      </c>
      <c r="BO1" t="inlineStr">
        <is>
          <t>2026-05-04</t>
        </is>
      </c>
      <c r="BP1" t="inlineStr">
        <is>
          <t>2026-05-05</t>
        </is>
      </c>
      <c r="BQ1" t="inlineStr">
        <is>
          <t>2026-05-06</t>
        </is>
      </c>
    </row>
    <row r="2">
      <c r="A2" s="22">
        <f>"https://open.spotify.com/playlist/" &amp; C2</f>
        <v/>
      </c>
      <c r="B2" s="1" t="inlineStr">
        <is>
          <t>Cool Down 2026 | Post-Workout Recovery &amp; Relaxed Energy 🌙✨</t>
        </is>
      </c>
      <c r="C2" s="1" t="inlineStr">
        <is>
          <t>4obKtBe3ZgQI4YcHsKQHmn</t>
        </is>
      </c>
      <c r="D2" s="3" t="n">
        <v>182</v>
      </c>
      <c r="E2" s="20" t="n">
        <v>1</v>
      </c>
      <c r="F2" s="26" t="n">
        <v>3</v>
      </c>
      <c r="G2" s="24" t="n">
        <v>6</v>
      </c>
      <c r="H2" s="27" t="n">
        <v>4</v>
      </c>
      <c r="I2" s="31" t="n">
        <v>3</v>
      </c>
      <c r="J2" s="72" t="n">
        <v>5</v>
      </c>
      <c r="K2" s="77" t="n">
        <v>1</v>
      </c>
      <c r="L2" s="78" t="n">
        <v>4</v>
      </c>
      <c r="M2" s="83" t="n">
        <v>0</v>
      </c>
      <c r="N2" s="84" t="n">
        <v>4</v>
      </c>
      <c r="O2" s="89" t="n">
        <v>2</v>
      </c>
      <c r="P2" s="92" t="n">
        <v>3</v>
      </c>
      <c r="Q2" s="95" t="n">
        <v>3</v>
      </c>
      <c r="R2" s="99" t="n">
        <v>2</v>
      </c>
      <c r="S2" s="101" t="n">
        <v>1</v>
      </c>
      <c r="T2" s="103" t="n">
        <v>6</v>
      </c>
      <c r="U2" s="107" t="n">
        <v>2</v>
      </c>
      <c r="V2" s="110" t="n">
        <v>2</v>
      </c>
      <c r="W2" s="113" t="n">
        <v>2</v>
      </c>
      <c r="X2" s="116" t="n">
        <v>1</v>
      </c>
      <c r="Y2" s="119" t="n">
        <v>2</v>
      </c>
      <c r="Z2" s="121" t="n">
        <v>2</v>
      </c>
      <c r="AA2" s="126" t="n">
        <v>2</v>
      </c>
      <c r="AB2" s="128" t="n">
        <v>4</v>
      </c>
      <c r="AC2" s="132" t="n">
        <v>2</v>
      </c>
      <c r="AD2" s="135" t="n">
        <v>2</v>
      </c>
      <c r="AE2" s="139" t="n">
        <v>3</v>
      </c>
      <c r="AF2" s="141" t="n">
        <v>2</v>
      </c>
      <c r="AG2" s="144" t="n">
        <v>1</v>
      </c>
      <c r="AH2" s="147" t="n">
        <v>1</v>
      </c>
      <c r="AI2" s="151" t="n">
        <v>0</v>
      </c>
      <c r="AJ2" s="152" t="n">
        <v>3</v>
      </c>
      <c r="AK2" s="153" t="n">
        <v>5</v>
      </c>
      <c r="AL2" s="157" t="n">
        <v>2</v>
      </c>
      <c r="AM2" s="159" t="n">
        <v>3</v>
      </c>
      <c r="AN2" s="162" t="n">
        <v>2</v>
      </c>
      <c r="AO2" s="162" t="n">
        <v>1</v>
      </c>
      <c r="AP2" s="166" t="n">
        <v>0</v>
      </c>
      <c r="AQ2" s="168" t="n">
        <v>1</v>
      </c>
      <c r="AR2" s="171" t="n">
        <v>1</v>
      </c>
      <c r="AS2" s="175" t="n">
        <v>0</v>
      </c>
      <c r="AT2" s="177" t="n">
        <v>1</v>
      </c>
      <c r="AU2" s="177" t="n">
        <v>1</v>
      </c>
      <c r="AV2" s="181" t="n">
        <v>0</v>
      </c>
      <c r="AW2" s="184" t="n">
        <v>3</v>
      </c>
      <c r="AX2" s="183" t="n">
        <v>0</v>
      </c>
      <c r="AY2" s="186" t="n">
        <v>2</v>
      </c>
      <c r="AZ2" s="188" t="n">
        <v>4</v>
      </c>
      <c r="BA2" s="192" t="n">
        <v>0</v>
      </c>
      <c r="BB2" s="194" t="n">
        <v>1</v>
      </c>
      <c r="BC2" s="198" t="n">
        <v>3</v>
      </c>
      <c r="BD2" s="202" t="n">
        <v>0</v>
      </c>
      <c r="BE2" s="203" t="n">
        <v>5</v>
      </c>
      <c r="BF2" s="203" t="n">
        <v>5</v>
      </c>
      <c r="BG2" s="206" t="n">
        <v>4</v>
      </c>
      <c r="BH2" s="210" t="n">
        <v>2</v>
      </c>
      <c r="BI2" s="209" t="n">
        <v>8</v>
      </c>
      <c r="BJ2" s="210" t="n">
        <v>2</v>
      </c>
      <c r="BK2" s="210" t="n">
        <v>3</v>
      </c>
      <c r="BL2" s="210" t="n">
        <v>3</v>
      </c>
      <c r="BM2" s="210" t="n">
        <v>2</v>
      </c>
      <c r="BN2" s="214" t="n">
        <v>1</v>
      </c>
      <c r="BO2" s="215" t="n">
        <v>0</v>
      </c>
      <c r="BP2" s="216" t="n">
        <v>5</v>
      </c>
      <c r="BQ2" s="214" t="n">
        <v>3</v>
      </c>
    </row>
    <row r="3">
      <c r="A3" s="22">
        <f>"https://open.spotify.com/playlist/" &amp; C3</f>
        <v/>
      </c>
      <c r="B3" s="1" t="inlineStr">
        <is>
          <t>Pilates &amp; Hot Pilates 2026 | Core Strength, Conditioning &amp; Flow 🔥🧘‍♀️</t>
        </is>
      </c>
      <c r="C3" s="1" t="inlineStr">
        <is>
          <t>13cCjAoOVeqonyew3xBDb7</t>
        </is>
      </c>
      <c r="D3" s="3" t="n">
        <v>59</v>
      </c>
      <c r="E3" s="20" t="n">
        <v>2</v>
      </c>
      <c r="F3" s="26" t="n">
        <v>1</v>
      </c>
      <c r="G3" s="26" t="n">
        <v>2</v>
      </c>
      <c r="H3" s="28" t="n">
        <v>3</v>
      </c>
      <c r="I3" s="32" t="n">
        <v>-1</v>
      </c>
      <c r="J3" s="73" t="n">
        <v>1</v>
      </c>
      <c r="K3" s="76" t="n">
        <v>0</v>
      </c>
      <c r="L3" s="80" t="n">
        <v>0</v>
      </c>
      <c r="M3" s="83" t="n">
        <v>0</v>
      </c>
      <c r="N3" s="85" t="n">
        <v>3</v>
      </c>
      <c r="O3" s="89" t="n">
        <v>2</v>
      </c>
      <c r="P3" s="93" t="n">
        <v>0</v>
      </c>
      <c r="Q3" s="95" t="n">
        <v>3</v>
      </c>
      <c r="R3" s="99" t="n">
        <v>3</v>
      </c>
      <c r="S3" s="101" t="n">
        <v>1</v>
      </c>
      <c r="T3" s="105" t="n">
        <v>0</v>
      </c>
      <c r="U3" s="107" t="n">
        <v>1</v>
      </c>
      <c r="V3" s="110" t="n">
        <v>2</v>
      </c>
      <c r="W3" s="113" t="n">
        <v>2</v>
      </c>
      <c r="X3" s="117" t="n">
        <v>0</v>
      </c>
      <c r="Y3" s="119" t="n">
        <v>1</v>
      </c>
      <c r="Z3" s="121" t="n">
        <v>1</v>
      </c>
      <c r="AA3" s="127" t="n">
        <v>0</v>
      </c>
      <c r="AB3" s="129" t="n">
        <v>1</v>
      </c>
      <c r="AC3" s="132" t="n">
        <v>1</v>
      </c>
      <c r="AD3" s="136" t="n">
        <v>0</v>
      </c>
      <c r="AE3" s="138" t="n">
        <v>0</v>
      </c>
      <c r="AF3" s="142" t="n">
        <v>0</v>
      </c>
      <c r="AG3" s="144" t="n">
        <v>1</v>
      </c>
      <c r="AH3" s="148" t="n">
        <v>-1</v>
      </c>
      <c r="AI3" s="150" t="n">
        <v>1</v>
      </c>
      <c r="AJ3" s="154" t="n">
        <v>0</v>
      </c>
      <c r="AK3" s="152" t="n">
        <v>1</v>
      </c>
      <c r="AL3" s="156" t="n">
        <v>0</v>
      </c>
      <c r="AM3" s="160" t="n">
        <v>0</v>
      </c>
      <c r="AN3" s="162" t="n">
        <v>1</v>
      </c>
      <c r="AO3" s="162" t="n">
        <v>0</v>
      </c>
      <c r="AP3" s="166" t="n">
        <v>0</v>
      </c>
      <c r="AQ3" s="168" t="n">
        <v>1</v>
      </c>
      <c r="AR3" s="171" t="n">
        <v>1</v>
      </c>
      <c r="AS3" s="174" t="n">
        <v>1</v>
      </c>
      <c r="AT3" s="178" t="n">
        <v>0</v>
      </c>
      <c r="AU3" s="178" t="n">
        <v>0</v>
      </c>
      <c r="AV3" s="181" t="n">
        <v>0</v>
      </c>
      <c r="AW3" s="183" t="n">
        <v>0</v>
      </c>
      <c r="AX3" s="183" t="n">
        <v>0</v>
      </c>
      <c r="AY3" s="187" t="n">
        <v>0</v>
      </c>
      <c r="AZ3" s="189" t="n">
        <v>0</v>
      </c>
      <c r="BA3" s="192" t="n">
        <v>0</v>
      </c>
      <c r="BB3" s="196" t="n">
        <v>0</v>
      </c>
      <c r="BC3" s="199" t="n">
        <v>0</v>
      </c>
      <c r="BD3" s="202" t="n">
        <v>0</v>
      </c>
      <c r="BE3" s="205" t="n">
        <v>0</v>
      </c>
      <c r="BF3" s="205" t="n">
        <v>0</v>
      </c>
      <c r="BG3" s="208" t="n">
        <v>0</v>
      </c>
      <c r="BH3" s="211" t="n">
        <v>0</v>
      </c>
      <c r="BI3" s="211" t="n">
        <v>0</v>
      </c>
      <c r="BJ3" s="211" t="n">
        <v>0</v>
      </c>
      <c r="BK3" s="210" t="n">
        <v>1</v>
      </c>
      <c r="BL3" s="211" t="n">
        <v>0</v>
      </c>
      <c r="BM3" s="211" t="n">
        <v>0</v>
      </c>
      <c r="BN3" s="214" t="n">
        <v>1</v>
      </c>
      <c r="BO3" s="215" t="n">
        <v>0</v>
      </c>
      <c r="BP3" s="215" t="n">
        <v>0</v>
      </c>
      <c r="BQ3" s="215" t="n">
        <v>0</v>
      </c>
    </row>
    <row r="4">
      <c r="A4" s="22">
        <f>"https://open.spotify.com/playlist/" &amp; C4</f>
        <v/>
      </c>
      <c r="B4" s="1" t="inlineStr">
        <is>
          <t>Stretching Workout 2026 | Flexibility, Recovery &amp; Cool Down Music 🧘‍♀️✨</t>
        </is>
      </c>
      <c r="C4" s="1" t="inlineStr">
        <is>
          <t>4lz1ULTrHjfAF3jkYsv5fe</t>
        </is>
      </c>
      <c r="D4" s="3" t="n">
        <v>203</v>
      </c>
      <c r="E4" s="20" t="n">
        <v>3</v>
      </c>
      <c r="F4" s="26" t="n">
        <v>1</v>
      </c>
      <c r="G4" s="25" t="n">
        <v>0</v>
      </c>
      <c r="H4" s="28" t="n">
        <v>2</v>
      </c>
      <c r="I4" s="31" t="n">
        <v>2</v>
      </c>
      <c r="J4" s="73" t="n">
        <v>3</v>
      </c>
      <c r="K4" s="77" t="n">
        <v>2</v>
      </c>
      <c r="L4" s="79" t="n">
        <v>2</v>
      </c>
      <c r="M4" s="82" t="n">
        <v>2</v>
      </c>
      <c r="N4" s="84" t="n">
        <v>4</v>
      </c>
      <c r="O4" s="88" t="n">
        <v>4</v>
      </c>
      <c r="P4" s="92" t="n">
        <v>2</v>
      </c>
      <c r="Q4" s="95" t="n">
        <v>2</v>
      </c>
      <c r="R4" s="99" t="n">
        <v>3</v>
      </c>
      <c r="S4" s="101" t="n">
        <v>3</v>
      </c>
      <c r="T4" s="104" t="n">
        <v>3</v>
      </c>
      <c r="U4" s="107" t="n">
        <v>2</v>
      </c>
      <c r="V4" s="109" t="n">
        <v>5</v>
      </c>
      <c r="W4" s="113" t="n">
        <v>3</v>
      </c>
      <c r="X4" s="117" t="n">
        <v>0</v>
      </c>
      <c r="Y4" s="118" t="n">
        <v>7</v>
      </c>
      <c r="Z4" s="121" t="n">
        <v>3</v>
      </c>
      <c r="AA4" s="127" t="n">
        <v>0</v>
      </c>
      <c r="AB4" s="130" t="n">
        <v>0</v>
      </c>
      <c r="AC4" s="132" t="n">
        <v>1</v>
      </c>
      <c r="AD4" s="135" t="n">
        <v>3</v>
      </c>
      <c r="AE4" s="137" t="n">
        <v>7</v>
      </c>
      <c r="AF4" s="140" t="n">
        <v>4</v>
      </c>
      <c r="AG4" s="144" t="n">
        <v>1</v>
      </c>
      <c r="AH4" s="146" t="n">
        <v>5</v>
      </c>
      <c r="AI4" s="151" t="n">
        <v>0</v>
      </c>
      <c r="AJ4" s="153" t="n">
        <v>4</v>
      </c>
      <c r="AK4" s="152" t="n">
        <v>3</v>
      </c>
      <c r="AL4" s="157" t="n">
        <v>2</v>
      </c>
      <c r="AM4" s="159" t="n">
        <v>1</v>
      </c>
      <c r="AN4" s="161" t="n">
        <v>2</v>
      </c>
      <c r="AO4" s="161" t="n">
        <v>2</v>
      </c>
      <c r="AP4" s="166" t="n">
        <v>0</v>
      </c>
      <c r="AQ4" s="167" t="n">
        <v>8</v>
      </c>
      <c r="AR4" s="170" t="n">
        <v>6</v>
      </c>
      <c r="AS4" s="173" t="n">
        <v>10</v>
      </c>
      <c r="AT4" s="176" t="n">
        <v>4</v>
      </c>
      <c r="AU4" s="177" t="n">
        <v>1</v>
      </c>
      <c r="AV4" s="180" t="n">
        <v>3</v>
      </c>
      <c r="AW4" s="182" t="n">
        <v>4</v>
      </c>
      <c r="AX4" s="182" t="n">
        <v>6</v>
      </c>
      <c r="AY4" s="186" t="n">
        <v>1</v>
      </c>
      <c r="AZ4" s="190" t="n">
        <v>2</v>
      </c>
      <c r="BA4" s="191" t="n">
        <v>2</v>
      </c>
      <c r="BB4" s="194" t="n">
        <v>1</v>
      </c>
      <c r="BC4" s="198" t="n">
        <v>1</v>
      </c>
      <c r="BD4" s="201" t="n">
        <v>3</v>
      </c>
      <c r="BE4" s="203" t="n">
        <v>5</v>
      </c>
      <c r="BF4" s="204" t="n">
        <v>2</v>
      </c>
      <c r="BG4" s="206" t="n">
        <v>4</v>
      </c>
      <c r="BH4" s="210" t="n">
        <v>2</v>
      </c>
      <c r="BI4" s="209" t="n">
        <v>7</v>
      </c>
      <c r="BJ4" s="210" t="n">
        <v>1</v>
      </c>
      <c r="BK4" s="210" t="n">
        <v>1</v>
      </c>
      <c r="BL4" s="210" t="n">
        <v>2</v>
      </c>
      <c r="BM4" s="211" t="n">
        <v>0</v>
      </c>
      <c r="BN4" s="214" t="n">
        <v>2</v>
      </c>
      <c r="BO4" s="215" t="n">
        <v>0</v>
      </c>
      <c r="BP4" s="216" t="n">
        <v>6</v>
      </c>
      <c r="BQ4" s="216" t="n">
        <v>5</v>
      </c>
    </row>
    <row r="5">
      <c r="A5" s="22">
        <f>"https://open.spotify.com/playlist/" &amp; C5</f>
        <v/>
      </c>
      <c r="B5" s="1" t="inlineStr">
        <is>
          <t>Boxing &amp; Kickboxing Training 2026 | Conditioning, Power &amp; Beast Mode Intensity 🥊🔥</t>
        </is>
      </c>
      <c r="C5" s="1" t="inlineStr">
        <is>
          <t>1YrcLbAYOGvSvRi3Aj8h5R</t>
        </is>
      </c>
      <c r="D5" s="3" t="n">
        <v>91</v>
      </c>
      <c r="E5" s="20" t="n">
        <v>1</v>
      </c>
      <c r="F5" s="25" t="n">
        <v>0</v>
      </c>
      <c r="G5" s="26" t="n">
        <v>1</v>
      </c>
      <c r="H5" s="28" t="n">
        <v>1</v>
      </c>
      <c r="I5" s="31" t="n">
        <v>3</v>
      </c>
      <c r="J5" s="73" t="n">
        <v>2</v>
      </c>
      <c r="K5" s="77" t="n">
        <v>3</v>
      </c>
      <c r="L5" s="79" t="n">
        <v>1</v>
      </c>
      <c r="M5" s="83" t="n">
        <v>0</v>
      </c>
      <c r="N5" s="85" t="n">
        <v>1</v>
      </c>
      <c r="O5" s="89" t="n">
        <v>3</v>
      </c>
      <c r="P5" s="92" t="n">
        <v>2</v>
      </c>
      <c r="Q5" s="95" t="n">
        <v>1</v>
      </c>
      <c r="R5" s="97" t="n">
        <v>7</v>
      </c>
      <c r="S5" s="101" t="n">
        <v>3</v>
      </c>
      <c r="T5" s="104" t="n">
        <v>1</v>
      </c>
      <c r="U5" s="107" t="n">
        <v>2</v>
      </c>
      <c r="V5" s="110" t="n">
        <v>1</v>
      </c>
      <c r="W5" s="114" t="n">
        <v>0</v>
      </c>
      <c r="X5" s="116" t="n">
        <v>2</v>
      </c>
      <c r="Y5" s="119" t="n">
        <v>2</v>
      </c>
      <c r="Z5" s="121" t="n">
        <v>1</v>
      </c>
      <c r="AA5" s="126" t="n">
        <v>1</v>
      </c>
      <c r="AB5" s="129" t="n">
        <v>2</v>
      </c>
      <c r="AC5" s="132" t="n">
        <v>1</v>
      </c>
      <c r="AD5" s="135" t="n">
        <v>2</v>
      </c>
      <c r="AE5" s="139" t="n">
        <v>1</v>
      </c>
      <c r="AF5" s="141" t="n">
        <v>3</v>
      </c>
      <c r="AG5" s="144" t="n">
        <v>1</v>
      </c>
      <c r="AH5" s="148" t="n">
        <v>-1</v>
      </c>
      <c r="AI5" s="150" t="n">
        <v>2</v>
      </c>
      <c r="AJ5" s="154" t="n">
        <v>-1</v>
      </c>
      <c r="AK5" s="154" t="n">
        <v>0</v>
      </c>
      <c r="AL5" s="157" t="n">
        <v>1</v>
      </c>
      <c r="AM5" s="160" t="n">
        <v>-1</v>
      </c>
      <c r="AN5" s="163" t="n">
        <v>0</v>
      </c>
      <c r="AO5" s="163" t="n">
        <v>0</v>
      </c>
      <c r="AP5" s="165" t="n">
        <v>1</v>
      </c>
      <c r="AQ5" s="169" t="n">
        <v>0</v>
      </c>
      <c r="AR5" s="171" t="n">
        <v>2</v>
      </c>
      <c r="AS5" s="174" t="n">
        <v>1</v>
      </c>
      <c r="AT5" s="178" t="n">
        <v>0</v>
      </c>
      <c r="AU5" s="178" t="n">
        <v>0</v>
      </c>
      <c r="AV5" s="181" t="n">
        <v>0</v>
      </c>
      <c r="AW5" s="183" t="n">
        <v>0</v>
      </c>
      <c r="AX5" s="184" t="n">
        <v>2</v>
      </c>
      <c r="AY5" s="186" t="n">
        <v>1</v>
      </c>
      <c r="AZ5" s="189" t="n">
        <v>0</v>
      </c>
      <c r="BA5" s="191" t="n">
        <v>1</v>
      </c>
      <c r="BB5" s="194" t="n">
        <v>1</v>
      </c>
      <c r="BC5" s="199" t="n">
        <v>0</v>
      </c>
      <c r="BD5" s="201" t="n">
        <v>1</v>
      </c>
      <c r="BE5" s="205" t="n">
        <v>0</v>
      </c>
      <c r="BF5" s="204" t="n">
        <v>1</v>
      </c>
      <c r="BG5" s="206" t="n">
        <v>4</v>
      </c>
      <c r="BH5" s="210" t="n">
        <v>1</v>
      </c>
      <c r="BI5" s="209" t="n">
        <v>4</v>
      </c>
      <c r="BJ5" s="211" t="n">
        <v>0</v>
      </c>
      <c r="BK5" s="211" t="n">
        <v>0</v>
      </c>
      <c r="BL5" s="210" t="n">
        <v>1</v>
      </c>
      <c r="BM5" s="211" t="n">
        <v>0</v>
      </c>
      <c r="BN5" s="215" t="n">
        <v>0</v>
      </c>
      <c r="BO5" s="215" t="n">
        <v>0</v>
      </c>
      <c r="BP5" s="214" t="n">
        <v>1</v>
      </c>
      <c r="BQ5" s="215" t="n">
        <v>0</v>
      </c>
    </row>
    <row r="6">
      <c r="A6" s="22">
        <f>"https://open.spotify.com/playlist/" &amp; C6</f>
        <v/>
      </c>
      <c r="B6" s="1" t="inlineStr">
        <is>
          <t>Power Cycling 2026 | High-Intensity Bike Training Music 🚴‍♂️⚡</t>
        </is>
      </c>
      <c r="C6" s="1" t="inlineStr">
        <is>
          <t>6PiUQdue5u3vChKv6NiO5e</t>
        </is>
      </c>
      <c r="D6" s="3" t="n">
        <v>89</v>
      </c>
      <c r="E6" s="21" t="n">
        <v>0</v>
      </c>
      <c r="F6" s="26" t="n">
        <v>1</v>
      </c>
      <c r="G6" s="25" t="n">
        <v>0</v>
      </c>
      <c r="H6" s="28" t="n">
        <v>3</v>
      </c>
      <c r="I6" s="31" t="n">
        <v>2</v>
      </c>
      <c r="J6" s="73" t="n">
        <v>2</v>
      </c>
      <c r="K6" s="76" t="n">
        <v>0</v>
      </c>
      <c r="L6" s="79" t="n">
        <v>3</v>
      </c>
      <c r="M6" s="82" t="n">
        <v>3</v>
      </c>
      <c r="N6" s="85" t="n">
        <v>3</v>
      </c>
      <c r="O6" s="89" t="n">
        <v>1</v>
      </c>
      <c r="P6" s="93" t="n">
        <v>0</v>
      </c>
      <c r="Q6" s="95" t="n">
        <v>1</v>
      </c>
      <c r="R6" s="99" t="n">
        <v>1</v>
      </c>
      <c r="S6" s="101" t="n">
        <v>3</v>
      </c>
      <c r="T6" s="105" t="n">
        <v>-1</v>
      </c>
      <c r="U6" s="107" t="n">
        <v>1</v>
      </c>
      <c r="V6" s="110" t="n">
        <v>2</v>
      </c>
      <c r="W6" s="113" t="n">
        <v>1</v>
      </c>
      <c r="X6" s="117" t="n">
        <v>0</v>
      </c>
      <c r="Y6" s="119" t="n">
        <v>2</v>
      </c>
      <c r="Z6" s="121" t="n">
        <v>3</v>
      </c>
      <c r="AA6" s="126" t="n">
        <v>1</v>
      </c>
      <c r="AB6" s="129" t="n">
        <v>2</v>
      </c>
      <c r="AC6" s="133" t="n">
        <v>0</v>
      </c>
      <c r="AD6" s="136" t="n">
        <v>0</v>
      </c>
      <c r="AE6" s="139" t="n">
        <v>1</v>
      </c>
      <c r="AF6" s="142" t="n">
        <v>0</v>
      </c>
      <c r="AG6" s="144" t="n">
        <v>3</v>
      </c>
      <c r="AH6" s="147" t="n">
        <v>1</v>
      </c>
      <c r="AI6" s="151" t="n">
        <v>0</v>
      </c>
      <c r="AJ6" s="152" t="n">
        <v>2</v>
      </c>
      <c r="AK6" s="154" t="n">
        <v>0</v>
      </c>
      <c r="AL6" s="156" t="n">
        <v>0</v>
      </c>
      <c r="AM6" s="160" t="n">
        <v>0</v>
      </c>
      <c r="AN6" s="162" t="n">
        <v>1</v>
      </c>
      <c r="AO6" s="162" t="n">
        <v>0</v>
      </c>
      <c r="AP6" s="166" t="n">
        <v>0</v>
      </c>
      <c r="AQ6" s="169" t="n">
        <v>0</v>
      </c>
      <c r="AR6" s="171" t="n">
        <v>2</v>
      </c>
      <c r="AS6" s="175" t="n">
        <v>0</v>
      </c>
      <c r="AT6" s="177" t="n">
        <v>1</v>
      </c>
      <c r="AU6" s="178" t="n">
        <v>0</v>
      </c>
      <c r="AV6" s="180" t="n">
        <v>1</v>
      </c>
      <c r="AW6" s="183" t="n">
        <v>0</v>
      </c>
      <c r="AX6" s="183" t="n">
        <v>0</v>
      </c>
      <c r="AY6" s="186" t="n">
        <v>2</v>
      </c>
      <c r="AZ6" s="190" t="n">
        <v>2</v>
      </c>
      <c r="BA6" s="192" t="n">
        <v>0</v>
      </c>
      <c r="BB6" s="194" t="n">
        <v>2</v>
      </c>
      <c r="BC6" s="199" t="n">
        <v>0</v>
      </c>
      <c r="BD6" s="201" t="n">
        <v>1</v>
      </c>
      <c r="BE6" s="204" t="n">
        <v>3</v>
      </c>
      <c r="BF6" s="205" t="n">
        <v>0</v>
      </c>
      <c r="BG6" s="207" t="n">
        <v>3</v>
      </c>
      <c r="BH6" s="210" t="n">
        <v>1</v>
      </c>
      <c r="BI6" s="210" t="n">
        <v>2</v>
      </c>
      <c r="BJ6" s="210" t="n">
        <v>1</v>
      </c>
      <c r="BK6" s="210" t="n">
        <v>1</v>
      </c>
      <c r="BL6" s="211" t="n">
        <v>0</v>
      </c>
      <c r="BM6" s="210" t="n">
        <v>2</v>
      </c>
      <c r="BN6" s="214" t="n">
        <v>2</v>
      </c>
      <c r="BO6" s="215" t="n">
        <v>0</v>
      </c>
      <c r="BP6" s="214" t="n">
        <v>1</v>
      </c>
      <c r="BQ6" s="214" t="n">
        <v>2</v>
      </c>
    </row>
    <row r="7">
      <c r="A7" s="22">
        <f>"https://open.spotify.com/playlist/" &amp; C7</f>
        <v/>
      </c>
      <c r="B7" s="1" t="inlineStr">
        <is>
          <t>HIIT Training 2026 | High-Intensity Workout &amp; Cardio Beats 🔥💪</t>
        </is>
      </c>
      <c r="C7" s="1" t="inlineStr">
        <is>
          <t>68BzUytNVKBBnnmVKhDqdH</t>
        </is>
      </c>
      <c r="D7" s="3" t="n">
        <v>77</v>
      </c>
      <c r="E7" s="20" t="n">
        <v>1</v>
      </c>
      <c r="F7" s="25" t="n">
        <v>0</v>
      </c>
      <c r="G7" s="26" t="n">
        <v>1</v>
      </c>
      <c r="H7" s="28" t="n">
        <v>1</v>
      </c>
      <c r="I7" s="31" t="n">
        <v>1</v>
      </c>
      <c r="J7" s="73" t="n">
        <v>3</v>
      </c>
      <c r="K7" s="77" t="n">
        <v>2</v>
      </c>
      <c r="L7" s="79" t="n">
        <v>1</v>
      </c>
      <c r="M7" s="82" t="n">
        <v>2</v>
      </c>
      <c r="N7" s="85" t="n">
        <v>1</v>
      </c>
      <c r="O7" s="89" t="n">
        <v>2</v>
      </c>
      <c r="P7" s="91" t="n">
        <v>4</v>
      </c>
      <c r="Q7" s="96" t="n">
        <v>0</v>
      </c>
      <c r="R7" s="99" t="n">
        <v>2</v>
      </c>
      <c r="S7" s="102" t="n">
        <v>0</v>
      </c>
      <c r="T7" s="104" t="n">
        <v>1</v>
      </c>
      <c r="U7" s="108" t="n">
        <v>-1</v>
      </c>
      <c r="V7" s="111" t="n">
        <v>0</v>
      </c>
      <c r="W7" s="113" t="n">
        <v>1</v>
      </c>
      <c r="X7" s="117" t="n">
        <v>0</v>
      </c>
      <c r="Y7" s="119" t="n">
        <v>1</v>
      </c>
      <c r="Z7" s="123" t="n">
        <v>0</v>
      </c>
      <c r="AA7" s="127" t="n">
        <v>0</v>
      </c>
      <c r="AB7" s="130" t="n">
        <v>0</v>
      </c>
      <c r="AC7" s="132" t="n">
        <v>1</v>
      </c>
      <c r="AD7" s="136" t="n">
        <v>0</v>
      </c>
      <c r="AE7" s="139" t="n">
        <v>3</v>
      </c>
      <c r="AF7" s="141" t="n">
        <v>3</v>
      </c>
      <c r="AG7" s="145" t="n">
        <v>0</v>
      </c>
      <c r="AH7" s="148" t="n">
        <v>0</v>
      </c>
      <c r="AI7" s="150" t="n">
        <v>1</v>
      </c>
      <c r="AJ7" s="152" t="n">
        <v>3</v>
      </c>
      <c r="AK7" s="154" t="n">
        <v>0</v>
      </c>
      <c r="AL7" s="157" t="n">
        <v>1</v>
      </c>
      <c r="AM7" s="159" t="n">
        <v>1</v>
      </c>
      <c r="AN7" s="162" t="n">
        <v>1</v>
      </c>
      <c r="AO7" s="162" t="n">
        <v>1</v>
      </c>
      <c r="AP7" s="165" t="n">
        <v>1</v>
      </c>
      <c r="AQ7" s="169" t="n">
        <v>0</v>
      </c>
      <c r="AR7" s="172" t="n">
        <v>0</v>
      </c>
      <c r="AS7" s="174" t="n">
        <v>1</v>
      </c>
      <c r="AT7" s="177" t="n">
        <v>1</v>
      </c>
      <c r="AU7" s="178" t="n">
        <v>-1</v>
      </c>
      <c r="AV7" s="180" t="n">
        <v>2</v>
      </c>
      <c r="AW7" s="184" t="n">
        <v>2</v>
      </c>
      <c r="AX7" s="184" t="n">
        <v>1</v>
      </c>
      <c r="AY7" s="186" t="n">
        <v>1</v>
      </c>
      <c r="AZ7" s="189" t="n">
        <v>0</v>
      </c>
      <c r="BA7" s="192" t="n">
        <v>0</v>
      </c>
      <c r="BB7" s="196" t="n">
        <v>0</v>
      </c>
      <c r="BC7" s="198" t="n">
        <v>2</v>
      </c>
      <c r="BD7" s="202" t="n">
        <v>0</v>
      </c>
      <c r="BE7" s="204" t="n">
        <v>1</v>
      </c>
      <c r="BF7" s="204" t="n">
        <v>2</v>
      </c>
      <c r="BG7" s="207" t="n">
        <v>1</v>
      </c>
      <c r="BH7" s="211" t="n">
        <v>0</v>
      </c>
      <c r="BI7" s="210" t="n">
        <v>2</v>
      </c>
      <c r="BJ7" s="210" t="n">
        <v>1</v>
      </c>
      <c r="BK7" s="211" t="n">
        <v>0</v>
      </c>
      <c r="BL7" s="210" t="n">
        <v>2</v>
      </c>
      <c r="BM7" s="210" t="n">
        <v>1</v>
      </c>
      <c r="BN7" s="215" t="n">
        <v>0</v>
      </c>
      <c r="BO7" s="214" t="n">
        <v>1</v>
      </c>
      <c r="BP7" s="215" t="n">
        <v>0</v>
      </c>
      <c r="BQ7" s="214" t="n">
        <v>2</v>
      </c>
    </row>
    <row r="8">
      <c r="A8" s="22">
        <f>"https://open.spotify.com/playlist/" &amp; C8</f>
        <v/>
      </c>
      <c r="B8" s="1" t="inlineStr">
        <is>
          <t>Sprint Training 2026 | Fast Running Music &amp; Speed Work ⚡🏃‍♂️</t>
        </is>
      </c>
      <c r="C8" s="1" t="inlineStr">
        <is>
          <t>4OMo8CEtedi2coDZVmxYJv</t>
        </is>
      </c>
      <c r="D8" s="3" t="n">
        <v>87</v>
      </c>
      <c r="E8" s="21" t="n">
        <v>0</v>
      </c>
      <c r="F8" s="26" t="n">
        <v>3</v>
      </c>
      <c r="G8" s="26" t="n">
        <v>3</v>
      </c>
      <c r="H8" s="27" t="n">
        <v>4</v>
      </c>
      <c r="I8" s="31" t="n">
        <v>3</v>
      </c>
      <c r="J8" s="73" t="n">
        <v>2</v>
      </c>
      <c r="K8" s="77" t="n">
        <v>3</v>
      </c>
      <c r="L8" s="78" t="n">
        <v>4</v>
      </c>
      <c r="M8" s="82" t="n">
        <v>2</v>
      </c>
      <c r="N8" s="85" t="n">
        <v>1</v>
      </c>
      <c r="O8" s="89" t="n">
        <v>3</v>
      </c>
      <c r="P8" s="92" t="n">
        <v>2</v>
      </c>
      <c r="Q8" s="95" t="n">
        <v>1</v>
      </c>
      <c r="R8" s="99" t="n">
        <v>3</v>
      </c>
      <c r="S8" s="101" t="n">
        <v>1</v>
      </c>
      <c r="T8" s="104" t="n">
        <v>1</v>
      </c>
      <c r="U8" s="108" t="n">
        <v>0</v>
      </c>
      <c r="V8" s="110" t="n">
        <v>2</v>
      </c>
      <c r="W8" s="114" t="n">
        <v>0</v>
      </c>
      <c r="X8" s="116" t="n">
        <v>3</v>
      </c>
      <c r="Y8" s="120" t="n">
        <v>0</v>
      </c>
      <c r="Z8" s="121" t="n">
        <v>2</v>
      </c>
      <c r="AA8" s="127" t="n">
        <v>0</v>
      </c>
      <c r="AB8" s="129" t="n">
        <v>1</v>
      </c>
      <c r="AC8" s="133" t="n">
        <v>0</v>
      </c>
      <c r="AD8" s="135" t="n">
        <v>1</v>
      </c>
      <c r="AE8" s="139" t="n">
        <v>1</v>
      </c>
      <c r="AF8" s="142" t="n">
        <v>-1</v>
      </c>
      <c r="AG8" s="144" t="n">
        <v>1</v>
      </c>
      <c r="AH8" s="148" t="n">
        <v>0</v>
      </c>
      <c r="AI8" s="150" t="n">
        <v>1</v>
      </c>
      <c r="AJ8" s="152" t="n">
        <v>2</v>
      </c>
      <c r="AK8" s="154" t="n">
        <v>0</v>
      </c>
      <c r="AL8" s="156" t="n">
        <v>0</v>
      </c>
      <c r="AM8" s="160" t="n">
        <v>0</v>
      </c>
      <c r="AN8" s="163" t="n">
        <v>0</v>
      </c>
      <c r="AO8" s="163" t="n">
        <v>0</v>
      </c>
      <c r="AP8" s="165" t="n">
        <v>1</v>
      </c>
      <c r="AQ8" s="168" t="n">
        <v>1</v>
      </c>
      <c r="AR8" s="172" t="n">
        <v>0</v>
      </c>
      <c r="AS8" s="174" t="n">
        <v>1</v>
      </c>
      <c r="AT8" s="177" t="n">
        <v>1</v>
      </c>
      <c r="AU8" s="177" t="n">
        <v>1</v>
      </c>
      <c r="AV8" s="180" t="n">
        <v>2</v>
      </c>
      <c r="AW8" s="184" t="n">
        <v>1</v>
      </c>
      <c r="AX8" s="184" t="n">
        <v>3</v>
      </c>
      <c r="AY8" s="186" t="n">
        <v>2</v>
      </c>
      <c r="AZ8" s="189" t="n">
        <v>0</v>
      </c>
      <c r="BA8" s="192" t="n">
        <v>0</v>
      </c>
      <c r="BB8" s="194" t="n">
        <v>1</v>
      </c>
      <c r="BC8" s="198" t="n">
        <v>1</v>
      </c>
      <c r="BD8" s="202" t="n">
        <v>0</v>
      </c>
      <c r="BE8" s="204" t="n">
        <v>3</v>
      </c>
      <c r="BF8" s="204" t="n">
        <v>1</v>
      </c>
      <c r="BG8" s="207" t="n">
        <v>1</v>
      </c>
      <c r="BH8" s="210" t="n">
        <v>1</v>
      </c>
      <c r="BI8" s="210" t="n">
        <v>1</v>
      </c>
      <c r="BJ8" s="211" t="n">
        <v>0</v>
      </c>
      <c r="BK8" s="211" t="n">
        <v>0</v>
      </c>
      <c r="BL8" s="210" t="n">
        <v>1</v>
      </c>
      <c r="BM8" s="211" t="n">
        <v>0</v>
      </c>
      <c r="BN8" s="215" t="n">
        <v>0</v>
      </c>
      <c r="BO8" s="215" t="n">
        <v>-1</v>
      </c>
      <c r="BP8" s="215" t="n">
        <v>0</v>
      </c>
      <c r="BQ8" s="215" t="n">
        <v>0</v>
      </c>
    </row>
    <row r="9">
      <c r="A9" s="22">
        <f>"https://open.spotify.com/playlist/" &amp; C9</f>
        <v/>
      </c>
      <c r="B9" s="1" t="inlineStr">
        <is>
          <t>Gym Temazos 150 BPM | Éxitos Energéticos, Motivación &amp; Canciones para Cardio 🔥💥</t>
        </is>
      </c>
      <c r="C9" s="1" t="inlineStr">
        <is>
          <t>32EBOwMX8SiNgM4wnHlfHF</t>
        </is>
      </c>
      <c r="D9" s="3" t="n">
        <v>112</v>
      </c>
      <c r="E9" s="21" t="n">
        <v>0</v>
      </c>
      <c r="F9" s="25" t="n">
        <v>0</v>
      </c>
      <c r="G9" s="25" t="n">
        <v>-1</v>
      </c>
      <c r="H9" s="28" t="n">
        <v>1</v>
      </c>
      <c r="I9" s="31" t="n">
        <v>2</v>
      </c>
      <c r="J9" s="73" t="n">
        <v>1</v>
      </c>
      <c r="K9" s="76" t="n">
        <v>0</v>
      </c>
      <c r="L9" s="79" t="n">
        <v>1</v>
      </c>
      <c r="M9" s="82" t="n">
        <v>1</v>
      </c>
      <c r="N9" s="84" t="n">
        <v>4</v>
      </c>
      <c r="O9" s="89" t="n">
        <v>3</v>
      </c>
      <c r="P9" s="91" t="n">
        <v>6</v>
      </c>
      <c r="Q9" s="94" t="n">
        <v>5</v>
      </c>
      <c r="R9" s="99" t="n">
        <v>2</v>
      </c>
      <c r="S9" s="102" t="n">
        <v>0</v>
      </c>
      <c r="T9" s="104" t="n">
        <v>3</v>
      </c>
      <c r="U9" s="107" t="n">
        <v>2</v>
      </c>
      <c r="V9" s="109" t="n">
        <v>6</v>
      </c>
      <c r="W9" s="113" t="n">
        <v>1</v>
      </c>
      <c r="X9" s="116" t="n">
        <v>3</v>
      </c>
      <c r="Y9" s="119" t="n">
        <v>1</v>
      </c>
      <c r="Z9" s="123" t="n">
        <v>0</v>
      </c>
      <c r="AA9" s="127" t="n">
        <v>0</v>
      </c>
      <c r="AB9" s="130" t="n">
        <v>0</v>
      </c>
      <c r="AC9" s="132" t="n">
        <v>3</v>
      </c>
      <c r="AD9" s="135" t="n">
        <v>3</v>
      </c>
      <c r="AE9" s="139" t="n">
        <v>2</v>
      </c>
      <c r="AF9" s="142" t="n">
        <v>0</v>
      </c>
      <c r="AG9" s="144" t="n">
        <v>1</v>
      </c>
      <c r="AH9" s="147" t="n">
        <v>1</v>
      </c>
      <c r="AI9" s="150" t="n">
        <v>1</v>
      </c>
      <c r="AJ9" s="152" t="n">
        <v>1</v>
      </c>
      <c r="AK9" s="152" t="n">
        <v>1</v>
      </c>
      <c r="AL9" s="157" t="n">
        <v>1</v>
      </c>
      <c r="AM9" s="160" t="n">
        <v>0</v>
      </c>
      <c r="AN9" s="162" t="n">
        <v>2</v>
      </c>
      <c r="AO9" s="162" t="n">
        <v>1</v>
      </c>
      <c r="AP9" s="165" t="n">
        <v>1</v>
      </c>
      <c r="AQ9" s="168" t="n">
        <v>1</v>
      </c>
      <c r="AR9" s="171" t="n">
        <v>3</v>
      </c>
      <c r="AS9" s="175" t="n">
        <v>0</v>
      </c>
      <c r="AT9" s="177" t="n">
        <v>2</v>
      </c>
      <c r="AU9" s="177" t="n">
        <v>2</v>
      </c>
      <c r="AV9" s="180" t="n">
        <v>2</v>
      </c>
      <c r="AW9" s="184" t="n">
        <v>2</v>
      </c>
      <c r="AX9" s="184" t="n">
        <v>1</v>
      </c>
      <c r="AY9" s="186" t="n">
        <v>3</v>
      </c>
      <c r="AZ9" s="189" t="n">
        <v>0</v>
      </c>
      <c r="BA9" s="191" t="n">
        <v>3</v>
      </c>
      <c r="BB9" s="194" t="n">
        <v>1</v>
      </c>
      <c r="BC9" s="198" t="n">
        <v>2</v>
      </c>
      <c r="BD9" s="201" t="n">
        <v>1</v>
      </c>
      <c r="BE9" s="203" t="n">
        <v>4</v>
      </c>
      <c r="BF9" s="204" t="n">
        <v>2</v>
      </c>
      <c r="BG9" s="207" t="n">
        <v>2</v>
      </c>
      <c r="BH9" s="210" t="n">
        <v>2</v>
      </c>
      <c r="BI9" s="211" t="n">
        <v>0</v>
      </c>
      <c r="BJ9" s="210" t="n">
        <v>2</v>
      </c>
      <c r="BK9" s="211" t="n">
        <v>0</v>
      </c>
      <c r="BL9" s="211" t="n">
        <v>0</v>
      </c>
      <c r="BM9" s="210" t="n">
        <v>1</v>
      </c>
      <c r="BN9" s="215" t="n">
        <v>0</v>
      </c>
      <c r="BO9" s="214" t="n">
        <v>1</v>
      </c>
      <c r="BP9" s="215" t="n">
        <v>0</v>
      </c>
      <c r="BQ9" s="215" t="n">
        <v>0</v>
      </c>
    </row>
    <row r="10">
      <c r="A10" s="22">
        <f>"https://open.spotify.com/playlist/" &amp; C10</f>
        <v/>
      </c>
      <c r="B10" s="1" t="inlineStr">
        <is>
          <t>Mashup 2025</t>
        </is>
      </c>
      <c r="C10" s="1" t="inlineStr">
        <is>
          <t>2QvogerrUEogskpzEzN0cP</t>
        </is>
      </c>
      <c r="D10" s="3" t="n">
        <v>14</v>
      </c>
      <c r="E10" s="21" t="n">
        <v>0</v>
      </c>
      <c r="F10" s="25" t="n">
        <v>0</v>
      </c>
      <c r="G10" s="25" t="n">
        <v>0</v>
      </c>
      <c r="H10" s="29" t="n">
        <v>0</v>
      </c>
      <c r="I10" s="32" t="n">
        <v>0</v>
      </c>
      <c r="J10" s="74" t="n">
        <v>0</v>
      </c>
      <c r="K10" s="76" t="n">
        <v>0</v>
      </c>
      <c r="L10" s="80" t="n">
        <v>0</v>
      </c>
      <c r="M10" s="83" t="n">
        <v>0</v>
      </c>
      <c r="N10" s="86" t="n">
        <v>0</v>
      </c>
      <c r="O10" s="90" t="n">
        <v>0</v>
      </c>
      <c r="P10" s="93" t="n">
        <v>0</v>
      </c>
      <c r="Q10" s="96" t="n">
        <v>0</v>
      </c>
      <c r="R10" s="98" t="n">
        <v>0</v>
      </c>
      <c r="S10" s="102" t="n">
        <v>0</v>
      </c>
      <c r="T10" s="105" t="n">
        <v>0</v>
      </c>
      <c r="U10" s="108" t="n">
        <v>0</v>
      </c>
      <c r="V10" s="111" t="n">
        <v>0</v>
      </c>
      <c r="W10" s="114" t="n">
        <v>0</v>
      </c>
      <c r="X10" s="117" t="n">
        <v>0</v>
      </c>
      <c r="Y10" s="120" t="n">
        <v>0</v>
      </c>
      <c r="Z10" s="123" t="n">
        <v>0</v>
      </c>
      <c r="AA10" s="127" t="n">
        <v>0</v>
      </c>
      <c r="AB10" s="130" t="n">
        <v>0</v>
      </c>
      <c r="AC10" s="133" t="n">
        <v>0</v>
      </c>
      <c r="AD10" s="136" t="n">
        <v>0</v>
      </c>
      <c r="AE10" s="138" t="n">
        <v>0</v>
      </c>
      <c r="AF10" s="142" t="n">
        <v>0</v>
      </c>
      <c r="AG10" s="145" t="n">
        <v>0</v>
      </c>
      <c r="AH10" s="148" t="n">
        <v>0</v>
      </c>
      <c r="AI10" s="151" t="n">
        <v>0</v>
      </c>
      <c r="AJ10" s="154" t="n">
        <v>0</v>
      </c>
      <c r="AK10" s="154" t="n">
        <v>0</v>
      </c>
      <c r="AL10" s="156" t="n">
        <v>0</v>
      </c>
      <c r="AM10" s="160" t="n">
        <v>0</v>
      </c>
      <c r="AN10" s="163" t="n">
        <v>0</v>
      </c>
      <c r="AO10" s="163" t="n">
        <v>0</v>
      </c>
      <c r="AP10" s="166" t="n">
        <v>0</v>
      </c>
      <c r="AQ10" s="169" t="n">
        <v>0</v>
      </c>
      <c r="AR10" s="172" t="n">
        <v>0</v>
      </c>
      <c r="AS10" s="175" t="n">
        <v>0</v>
      </c>
      <c r="AT10" s="178" t="n">
        <v>0</v>
      </c>
      <c r="AU10" s="178" t="n">
        <v>0</v>
      </c>
      <c r="AV10" s="181" t="n">
        <v>0</v>
      </c>
      <c r="AW10" s="183" t="n">
        <v>0</v>
      </c>
      <c r="AX10" s="183" t="n">
        <v>0</v>
      </c>
      <c r="AY10" s="187" t="n">
        <v>0</v>
      </c>
      <c r="AZ10" s="189" t="n">
        <v>0</v>
      </c>
      <c r="BA10" s="192" t="n">
        <v>0</v>
      </c>
      <c r="BB10" s="196" t="n">
        <v>0</v>
      </c>
      <c r="BC10" s="199" t="n">
        <v>0</v>
      </c>
      <c r="BD10" s="202" t="n">
        <v>0</v>
      </c>
      <c r="BE10" s="205" t="n">
        <v>0</v>
      </c>
      <c r="BF10" s="205" t="n">
        <v>0</v>
      </c>
      <c r="BG10" s="208" t="n">
        <v>0</v>
      </c>
      <c r="BH10" s="211" t="n">
        <v>0</v>
      </c>
      <c r="BI10" s="211" t="n">
        <v>0</v>
      </c>
      <c r="BJ10" s="211" t="n">
        <v>0</v>
      </c>
      <c r="BK10" s="211" t="n">
        <v>0</v>
      </c>
      <c r="BL10" s="211" t="n">
        <v>0</v>
      </c>
      <c r="BM10" s="211" t="n">
        <v>0</v>
      </c>
      <c r="BN10" s="215" t="n">
        <v>0</v>
      </c>
      <c r="BO10" s="215" t="n">
        <v>0</v>
      </c>
      <c r="BP10" s="215" t="n">
        <v>0</v>
      </c>
      <c r="BQ10" s="215" t="n">
        <v>0</v>
      </c>
    </row>
    <row r="11">
      <c r="A11" s="22">
        <f>"https://open.spotify.com/playlist/" &amp; C11</f>
        <v/>
      </c>
      <c r="B11" s="1" t="inlineStr">
        <is>
          <t>ICONIC Tanning &amp; Sun-Kissed Vibes ☀️ | Summer Glow Playlist</t>
        </is>
      </c>
      <c r="C11" s="1" t="inlineStr">
        <is>
          <t>1uKYO2DRtdnb3RCHHpltMe</t>
        </is>
      </c>
      <c r="D11" s="3" t="n">
        <v>22</v>
      </c>
      <c r="E11" s="21" t="n">
        <v>0</v>
      </c>
      <c r="F11" s="25" t="n">
        <v>0</v>
      </c>
      <c r="G11" s="25" t="n">
        <v>0</v>
      </c>
      <c r="H11" s="29" t="n">
        <v>0</v>
      </c>
      <c r="I11" s="32" t="n">
        <v>0</v>
      </c>
      <c r="J11" s="74" t="n">
        <v>0</v>
      </c>
      <c r="K11" s="77" t="n">
        <v>2</v>
      </c>
      <c r="L11" s="80" t="n">
        <v>0</v>
      </c>
      <c r="M11" s="83" t="n">
        <v>0</v>
      </c>
      <c r="N11" s="86" t="n">
        <v>0</v>
      </c>
      <c r="O11" s="90" t="n">
        <v>0</v>
      </c>
      <c r="P11" s="93" t="n">
        <v>0</v>
      </c>
      <c r="Q11" s="96" t="n">
        <v>0</v>
      </c>
      <c r="R11" s="98" t="n">
        <v>0</v>
      </c>
      <c r="S11" s="101" t="n">
        <v>1</v>
      </c>
      <c r="T11" s="105" t="n">
        <v>0</v>
      </c>
      <c r="U11" s="108" t="n">
        <v>0</v>
      </c>
      <c r="V11" s="110" t="n">
        <v>1</v>
      </c>
      <c r="W11" s="114" t="n">
        <v>0</v>
      </c>
      <c r="X11" s="117" t="n">
        <v>0</v>
      </c>
      <c r="Y11" s="119" t="n">
        <v>1</v>
      </c>
      <c r="Z11" s="123" t="n">
        <v>0</v>
      </c>
      <c r="AA11" s="127" t="n">
        <v>0</v>
      </c>
      <c r="AB11" s="129" t="n">
        <v>1</v>
      </c>
      <c r="AC11" s="133" t="n">
        <v>0</v>
      </c>
      <c r="AD11" s="136" t="n">
        <v>0</v>
      </c>
      <c r="AE11" s="138" t="n">
        <v>0</v>
      </c>
      <c r="AF11" s="141" t="n">
        <v>2</v>
      </c>
      <c r="AG11" s="145" t="n">
        <v>0</v>
      </c>
      <c r="AH11" s="148" t="n">
        <v>0</v>
      </c>
      <c r="AI11" s="151" t="n">
        <v>0</v>
      </c>
      <c r="AJ11" s="154" t="n">
        <v>0</v>
      </c>
      <c r="AK11" s="154" t="n">
        <v>0</v>
      </c>
      <c r="AL11" s="156" t="n">
        <v>0</v>
      </c>
      <c r="AM11" s="160" t="n">
        <v>0</v>
      </c>
      <c r="AN11" s="163" t="n">
        <v>0</v>
      </c>
      <c r="AO11" s="163" t="n">
        <v>0</v>
      </c>
      <c r="AP11" s="166" t="n">
        <v>0</v>
      </c>
      <c r="AQ11" s="169" t="n">
        <v>0</v>
      </c>
      <c r="AR11" s="171" t="n">
        <v>1</v>
      </c>
      <c r="AS11" s="175" t="n">
        <v>0</v>
      </c>
      <c r="AT11" s="178" t="n">
        <v>0</v>
      </c>
      <c r="AU11" s="178" t="n">
        <v>0</v>
      </c>
      <c r="AV11" s="181" t="n">
        <v>0</v>
      </c>
      <c r="AW11" s="183" t="n">
        <v>0</v>
      </c>
      <c r="AX11" s="183" t="n">
        <v>0</v>
      </c>
      <c r="AY11" s="187" t="n">
        <v>0</v>
      </c>
      <c r="AZ11" s="189" t="n">
        <v>0</v>
      </c>
      <c r="BA11" s="192" t="n">
        <v>0</v>
      </c>
      <c r="BB11" s="196" t="n">
        <v>0</v>
      </c>
      <c r="BC11" s="199" t="n">
        <v>0</v>
      </c>
      <c r="BD11" s="202" t="n">
        <v>0</v>
      </c>
      <c r="BE11" s="205" t="n">
        <v>0</v>
      </c>
      <c r="BF11" s="205" t="n">
        <v>0</v>
      </c>
      <c r="BG11" s="208" t="n">
        <v>0</v>
      </c>
      <c r="BH11" s="211" t="n">
        <v>0</v>
      </c>
      <c r="BI11" s="211" t="n">
        <v>0</v>
      </c>
      <c r="BJ11" s="211" t="n">
        <v>0</v>
      </c>
      <c r="BK11" s="211" t="n">
        <v>0</v>
      </c>
      <c r="BL11" s="211" t="n">
        <v>0</v>
      </c>
      <c r="BM11" s="211" t="n">
        <v>0</v>
      </c>
      <c r="BN11" s="215" t="n">
        <v>0</v>
      </c>
      <c r="BO11" s="215" t="n">
        <v>0</v>
      </c>
      <c r="BP11" s="215" t="n">
        <v>0</v>
      </c>
      <c r="BQ11" s="215" t="n">
        <v>0</v>
      </c>
    </row>
    <row r="12">
      <c r="A12" s="22">
        <f>"https://open.spotify.com/playlist/" &amp; C12</f>
        <v/>
      </c>
      <c r="B12" s="1" t="inlineStr">
        <is>
          <t>Ultra Marathon &amp; Triathlon 2026 | Endurance, Stamina &amp; Beast Mode Conditioning 🏔️🔥</t>
        </is>
      </c>
      <c r="C12" s="1" t="inlineStr">
        <is>
          <t>2bf1OroMkBxN6tPDRKMdZ3</t>
        </is>
      </c>
      <c r="D12" s="3" t="n">
        <v>50</v>
      </c>
      <c r="E12" s="20" t="n">
        <v>1</v>
      </c>
      <c r="F12" s="26" t="n">
        <v>1</v>
      </c>
      <c r="G12" s="25" t="n">
        <v>0</v>
      </c>
      <c r="H12" s="28" t="n">
        <v>2</v>
      </c>
      <c r="I12" s="31" t="n">
        <v>1</v>
      </c>
      <c r="J12" s="74" t="n">
        <v>0</v>
      </c>
      <c r="K12" s="76" t="n">
        <v>0</v>
      </c>
      <c r="L12" s="79" t="n">
        <v>3</v>
      </c>
      <c r="M12" s="83" t="n">
        <v>0</v>
      </c>
      <c r="N12" s="85" t="n">
        <v>2</v>
      </c>
      <c r="O12" s="90" t="n">
        <v>0</v>
      </c>
      <c r="P12" s="92" t="n">
        <v>2</v>
      </c>
      <c r="Q12" s="96" t="n">
        <v>0</v>
      </c>
      <c r="R12" s="99" t="n">
        <v>1</v>
      </c>
      <c r="S12" s="101" t="n">
        <v>1</v>
      </c>
      <c r="T12" s="104" t="n">
        <v>2</v>
      </c>
      <c r="U12" s="108" t="n">
        <v>0</v>
      </c>
      <c r="V12" s="111" t="n">
        <v>0</v>
      </c>
      <c r="W12" s="114" t="n">
        <v>0</v>
      </c>
      <c r="X12" s="117" t="n">
        <v>0</v>
      </c>
      <c r="Y12" s="119" t="n">
        <v>1</v>
      </c>
      <c r="Z12" s="123" t="n">
        <v>0</v>
      </c>
      <c r="AA12" s="127" t="n">
        <v>0</v>
      </c>
      <c r="AB12" s="129" t="n">
        <v>1</v>
      </c>
      <c r="AC12" s="133" t="n">
        <v>0</v>
      </c>
      <c r="AD12" s="136" t="n">
        <v>0</v>
      </c>
      <c r="AE12" s="138" t="n">
        <v>0</v>
      </c>
      <c r="AF12" s="141" t="n">
        <v>1</v>
      </c>
      <c r="AG12" s="144" t="n">
        <v>1</v>
      </c>
      <c r="AH12" s="147" t="n">
        <v>1</v>
      </c>
      <c r="AI12" s="151" t="n">
        <v>0</v>
      </c>
      <c r="AJ12" s="154" t="n">
        <v>0</v>
      </c>
      <c r="AK12" s="154" t="n">
        <v>0</v>
      </c>
      <c r="AL12" s="156" t="n">
        <v>0</v>
      </c>
      <c r="AM12" s="160" t="n">
        <v>0</v>
      </c>
      <c r="AN12" s="162" t="n">
        <v>1</v>
      </c>
      <c r="AO12" s="162" t="n">
        <v>0</v>
      </c>
      <c r="AP12" s="166" t="n">
        <v>0</v>
      </c>
      <c r="AQ12" s="169" t="n">
        <v>0</v>
      </c>
      <c r="AR12" s="171" t="n">
        <v>1</v>
      </c>
      <c r="AS12" s="174" t="n">
        <v>1</v>
      </c>
      <c r="AT12" s="177" t="n">
        <v>2</v>
      </c>
      <c r="AU12" s="177" t="n">
        <v>1</v>
      </c>
      <c r="AV12" s="180" t="n">
        <v>1</v>
      </c>
      <c r="AW12" s="183" t="n">
        <v>0</v>
      </c>
      <c r="AX12" s="184" t="n">
        <v>1</v>
      </c>
      <c r="AY12" s="187" t="n">
        <v>0</v>
      </c>
      <c r="AZ12" s="190" t="n">
        <v>1</v>
      </c>
      <c r="BA12" s="191" t="n">
        <v>1</v>
      </c>
      <c r="BB12" s="196" t="n">
        <v>0</v>
      </c>
      <c r="BC12" s="199" t="n">
        <v>0</v>
      </c>
      <c r="BD12" s="202" t="n">
        <v>0</v>
      </c>
      <c r="BE12" s="205" t="n">
        <v>0</v>
      </c>
      <c r="BF12" s="205" t="n">
        <v>0</v>
      </c>
      <c r="BG12" s="208" t="n">
        <v>0</v>
      </c>
      <c r="BH12" s="211" t="n">
        <v>0</v>
      </c>
      <c r="BI12" s="210" t="n">
        <v>2</v>
      </c>
      <c r="BJ12" s="210" t="n">
        <v>1</v>
      </c>
      <c r="BK12" s="210" t="n">
        <v>1</v>
      </c>
      <c r="BL12" s="211" t="n">
        <v>0</v>
      </c>
      <c r="BM12" s="211" t="n">
        <v>0</v>
      </c>
      <c r="BN12" s="214" t="n">
        <v>1</v>
      </c>
      <c r="BO12" s="214" t="n">
        <v>2</v>
      </c>
      <c r="BP12" s="215" t="n">
        <v>0</v>
      </c>
      <c r="BQ12" s="215" t="n">
        <v>0</v>
      </c>
    </row>
    <row r="13">
      <c r="A13" s="22">
        <f>"https://open.spotify.com/playlist/" &amp; C13</f>
        <v/>
      </c>
      <c r="B13" s="1" t="inlineStr">
        <is>
          <t>JUMP ROPE 140 BPM 2026 ⏱️ CARDIO BEATS 🔥 WORKOUT HITS</t>
        </is>
      </c>
      <c r="C13" s="1" t="inlineStr">
        <is>
          <t>4otn2YUP0D6er2yD0yDboz</t>
        </is>
      </c>
      <c r="D13" s="3" t="n">
        <v>186</v>
      </c>
      <c r="E13" s="21" t="n">
        <v>0</v>
      </c>
      <c r="F13" s="26" t="n">
        <v>3</v>
      </c>
      <c r="G13" s="25" t="n">
        <v>0</v>
      </c>
      <c r="H13" s="28" t="n">
        <v>2</v>
      </c>
      <c r="I13" s="31" t="n">
        <v>2</v>
      </c>
      <c r="J13" s="73" t="n">
        <v>1</v>
      </c>
      <c r="K13" s="76" t="n">
        <v>0</v>
      </c>
      <c r="L13" s="79" t="n">
        <v>2</v>
      </c>
      <c r="M13" s="82" t="n">
        <v>3</v>
      </c>
      <c r="N13" s="85" t="n">
        <v>2</v>
      </c>
      <c r="O13" s="88" t="n">
        <v>6</v>
      </c>
      <c r="P13" s="92" t="n">
        <v>2</v>
      </c>
      <c r="Q13" s="94" t="n">
        <v>6</v>
      </c>
      <c r="R13" s="97" t="n">
        <v>7</v>
      </c>
      <c r="S13" s="100" t="n">
        <v>5</v>
      </c>
      <c r="T13" s="104" t="n">
        <v>3</v>
      </c>
      <c r="U13" s="107" t="n">
        <v>2</v>
      </c>
      <c r="V13" s="109" t="n">
        <v>4</v>
      </c>
      <c r="W13" s="113" t="n">
        <v>3</v>
      </c>
      <c r="X13" s="116" t="n">
        <v>1</v>
      </c>
      <c r="Y13" s="119" t="n">
        <v>2</v>
      </c>
      <c r="Z13" s="122" t="n">
        <v>4</v>
      </c>
      <c r="AA13" s="125" t="n">
        <v>5</v>
      </c>
      <c r="AB13" s="128" t="n">
        <v>4</v>
      </c>
      <c r="AC13" s="132" t="n">
        <v>2</v>
      </c>
      <c r="AD13" s="135" t="n">
        <v>2</v>
      </c>
      <c r="AE13" s="139" t="n">
        <v>3</v>
      </c>
      <c r="AF13" s="141" t="n">
        <v>3</v>
      </c>
      <c r="AG13" s="144" t="n">
        <v>1</v>
      </c>
      <c r="AH13" s="147" t="n">
        <v>3</v>
      </c>
      <c r="AI13" s="149" t="n">
        <v>6</v>
      </c>
      <c r="AJ13" s="153" t="n">
        <v>4</v>
      </c>
      <c r="AK13" s="153" t="n">
        <v>5</v>
      </c>
      <c r="AL13" s="155" t="n">
        <v>4</v>
      </c>
      <c r="AM13" s="159" t="n">
        <v>2</v>
      </c>
      <c r="AN13" s="162" t="n">
        <v>2</v>
      </c>
      <c r="AO13" s="162" t="n">
        <v>1</v>
      </c>
      <c r="AP13" s="164" t="n">
        <v>6</v>
      </c>
      <c r="AQ13" s="168" t="n">
        <v>3</v>
      </c>
      <c r="AR13" s="170" t="n">
        <v>4</v>
      </c>
      <c r="AS13" s="174" t="n">
        <v>3</v>
      </c>
      <c r="AT13" s="177" t="n">
        <v>2</v>
      </c>
      <c r="AU13" s="176" t="n">
        <v>5</v>
      </c>
      <c r="AV13" s="180" t="n">
        <v>2</v>
      </c>
      <c r="AW13" s="184" t="n">
        <v>1</v>
      </c>
      <c r="AX13" s="183" t="n">
        <v>0</v>
      </c>
      <c r="AY13" s="185" t="n">
        <v>4</v>
      </c>
      <c r="AZ13" s="190" t="n">
        <v>2</v>
      </c>
      <c r="BA13" s="191" t="n">
        <v>2</v>
      </c>
      <c r="BB13" s="194" t="n">
        <v>1</v>
      </c>
      <c r="BC13" s="199" t="n">
        <v>0</v>
      </c>
      <c r="BD13" s="201" t="n">
        <v>3</v>
      </c>
      <c r="BE13" s="203" t="n">
        <v>4</v>
      </c>
      <c r="BF13" s="204" t="n">
        <v>2</v>
      </c>
      <c r="BG13" s="206" t="n">
        <v>4</v>
      </c>
      <c r="BH13" s="210" t="n">
        <v>3</v>
      </c>
      <c r="BI13" s="210" t="n">
        <v>2</v>
      </c>
      <c r="BJ13" s="210" t="n">
        <v>1</v>
      </c>
      <c r="BK13" s="210" t="n">
        <v>2</v>
      </c>
      <c r="BL13" s="210" t="n">
        <v>2</v>
      </c>
      <c r="BM13" s="210" t="n">
        <v>3</v>
      </c>
      <c r="BN13" s="214" t="n">
        <v>3</v>
      </c>
      <c r="BO13" s="214" t="n">
        <v>1</v>
      </c>
      <c r="BP13" s="214" t="n">
        <v>1</v>
      </c>
      <c r="BQ13" s="214" t="n">
        <v>2</v>
      </c>
    </row>
    <row r="14">
      <c r="A14" s="22">
        <f>"https://open.spotify.com/playlist/" &amp; C14</f>
        <v/>
      </c>
      <c r="B14" s="1" t="inlineStr">
        <is>
          <t>Running Training — Beast Mode Beats 🏃‍♂️🔥</t>
        </is>
      </c>
      <c r="C14" s="1" t="inlineStr">
        <is>
          <t>5NVYZzH6H6zHxXxf4G6ZAz</t>
        </is>
      </c>
      <c r="D14" s="3" t="n">
        <v>63</v>
      </c>
      <c r="E14" s="20" t="n">
        <v>1</v>
      </c>
      <c r="F14" s="25" t="n">
        <v>0</v>
      </c>
      <c r="G14" s="26" t="n">
        <v>3</v>
      </c>
      <c r="H14" s="28" t="n">
        <v>2</v>
      </c>
      <c r="I14" s="31" t="n">
        <v>3</v>
      </c>
      <c r="J14" s="73" t="n">
        <v>3</v>
      </c>
      <c r="K14" s="77" t="n">
        <v>1</v>
      </c>
      <c r="L14" s="79" t="n">
        <v>1</v>
      </c>
      <c r="M14" s="83" t="n">
        <v>0</v>
      </c>
      <c r="N14" s="85" t="n">
        <v>1</v>
      </c>
      <c r="O14" s="90" t="n">
        <v>0</v>
      </c>
      <c r="P14" s="93" t="n">
        <v>0</v>
      </c>
      <c r="Q14" s="95" t="n">
        <v>1</v>
      </c>
      <c r="R14" s="99" t="n">
        <v>3</v>
      </c>
      <c r="S14" s="102" t="n">
        <v>0</v>
      </c>
      <c r="T14" s="104" t="n">
        <v>2</v>
      </c>
      <c r="U14" s="108" t="n">
        <v>0</v>
      </c>
      <c r="V14" s="110" t="n">
        <v>2</v>
      </c>
      <c r="W14" s="114" t="n">
        <v>0</v>
      </c>
      <c r="X14" s="117" t="n">
        <v>0</v>
      </c>
      <c r="Y14" s="119" t="n">
        <v>1</v>
      </c>
      <c r="Z14" s="121" t="n">
        <v>3</v>
      </c>
      <c r="AA14" s="127" t="n">
        <v>0</v>
      </c>
      <c r="AB14" s="129" t="n">
        <v>2</v>
      </c>
      <c r="AC14" s="133" t="n">
        <v>0</v>
      </c>
      <c r="AD14" s="136" t="n">
        <v>0</v>
      </c>
      <c r="AE14" s="139" t="n">
        <v>2</v>
      </c>
      <c r="AF14" s="141" t="n">
        <v>1</v>
      </c>
      <c r="AG14" s="143" t="n">
        <v>4</v>
      </c>
      <c r="AH14" s="148" t="n">
        <v>0</v>
      </c>
      <c r="AI14" s="150" t="n">
        <v>1</v>
      </c>
      <c r="AJ14" s="154" t="n">
        <v>0</v>
      </c>
      <c r="AK14" s="152" t="n">
        <v>1</v>
      </c>
      <c r="AL14" s="157" t="n">
        <v>1</v>
      </c>
      <c r="AM14" s="159" t="n">
        <v>1</v>
      </c>
      <c r="AN14" s="162" t="n">
        <v>1</v>
      </c>
      <c r="AO14" s="162" t="n">
        <v>0</v>
      </c>
      <c r="AP14" s="165" t="n">
        <v>1</v>
      </c>
      <c r="AQ14" s="169" t="n">
        <v>0</v>
      </c>
      <c r="AR14" s="171" t="n">
        <v>1</v>
      </c>
      <c r="AS14" s="174" t="n">
        <v>1</v>
      </c>
      <c r="AT14" s="178" t="n">
        <v>0</v>
      </c>
      <c r="AU14" s="177" t="n">
        <v>1</v>
      </c>
      <c r="AV14" s="181" t="n">
        <v>0</v>
      </c>
      <c r="AW14" s="184" t="n">
        <v>1</v>
      </c>
      <c r="AX14" s="183" t="n">
        <v>0</v>
      </c>
      <c r="AY14" s="187" t="n">
        <v>0</v>
      </c>
      <c r="AZ14" s="189" t="n">
        <v>0</v>
      </c>
      <c r="BA14" s="191" t="n">
        <v>1</v>
      </c>
      <c r="BB14" s="196" t="n">
        <v>0</v>
      </c>
      <c r="BC14" s="199" t="n">
        <v>0</v>
      </c>
      <c r="BD14" s="201" t="n">
        <v>1</v>
      </c>
      <c r="BE14" s="205" t="n">
        <v>0</v>
      </c>
      <c r="BF14" s="205" t="n">
        <v>0</v>
      </c>
      <c r="BG14" s="207" t="n">
        <v>2</v>
      </c>
      <c r="BH14" s="211" t="n">
        <v>0</v>
      </c>
      <c r="BI14" s="211" t="n">
        <v>0</v>
      </c>
      <c r="BJ14" s="211" t="n">
        <v>0</v>
      </c>
      <c r="BK14" s="211" t="n">
        <v>0</v>
      </c>
      <c r="BL14" s="211" t="n">
        <v>0</v>
      </c>
      <c r="BM14" s="211" t="n">
        <v>0</v>
      </c>
      <c r="BN14" s="214" t="n">
        <v>1</v>
      </c>
      <c r="BO14" s="214" t="n">
        <v>1</v>
      </c>
      <c r="BP14" s="215" t="n">
        <v>0</v>
      </c>
      <c r="BQ14" s="215" t="n">
        <v>0</v>
      </c>
    </row>
    <row r="15">
      <c r="A15" s="22">
        <f>"https://open.spotify.com/playlist/" &amp; C15</f>
        <v/>
      </c>
      <c r="B15" s="1" t="inlineStr">
        <is>
          <t>Mountain Biking 2026 | Power, Endurance &amp; High-Intensity Conditioning 🚵🔥</t>
        </is>
      </c>
      <c r="C15" s="1" t="inlineStr">
        <is>
          <t>4wUNrPwfimRXUhWJvyY1Lr</t>
        </is>
      </c>
      <c r="D15" s="3" t="n">
        <v>33</v>
      </c>
      <c r="E15" s="21" t="n">
        <v>0</v>
      </c>
      <c r="F15" s="26" t="n">
        <v>1</v>
      </c>
      <c r="G15" s="26" t="n">
        <v>1</v>
      </c>
      <c r="H15" s="28" t="n">
        <v>1</v>
      </c>
      <c r="I15" s="32" t="n">
        <v>0</v>
      </c>
      <c r="J15" s="74" t="n">
        <v>0</v>
      </c>
      <c r="K15" s="76" t="n">
        <v>0</v>
      </c>
      <c r="L15" s="80" t="n">
        <v>0</v>
      </c>
      <c r="M15" s="82" t="n">
        <v>1</v>
      </c>
      <c r="N15" s="85" t="n">
        <v>1</v>
      </c>
      <c r="O15" s="89" t="n">
        <v>1</v>
      </c>
      <c r="P15" s="93" t="n">
        <v>0</v>
      </c>
      <c r="Q15" s="96" t="n">
        <v>0</v>
      </c>
      <c r="R15" s="99" t="n">
        <v>2</v>
      </c>
      <c r="S15" s="101" t="n">
        <v>1</v>
      </c>
      <c r="T15" s="104" t="n">
        <v>1</v>
      </c>
      <c r="U15" s="108" t="n">
        <v>0</v>
      </c>
      <c r="V15" s="111" t="n">
        <v>0</v>
      </c>
      <c r="W15" s="114" t="n">
        <v>0</v>
      </c>
      <c r="X15" s="116" t="n">
        <v>1</v>
      </c>
      <c r="Y15" s="120" t="n">
        <v>0</v>
      </c>
      <c r="Z15" s="123" t="n">
        <v>-1</v>
      </c>
      <c r="AA15" s="127" t="n">
        <v>0</v>
      </c>
      <c r="AB15" s="130" t="n">
        <v>0</v>
      </c>
      <c r="AC15" s="132" t="n">
        <v>2</v>
      </c>
      <c r="AD15" s="135" t="n">
        <v>1</v>
      </c>
      <c r="AE15" s="139" t="n">
        <v>1</v>
      </c>
      <c r="AF15" s="142" t="n">
        <v>0</v>
      </c>
      <c r="AG15" s="145" t="n">
        <v>-1</v>
      </c>
      <c r="AH15" s="148" t="n">
        <v>0</v>
      </c>
      <c r="AI15" s="151" t="n">
        <v>0</v>
      </c>
      <c r="AJ15" s="152" t="n">
        <v>1</v>
      </c>
      <c r="AK15" s="154" t="n">
        <v>0</v>
      </c>
      <c r="AL15" s="156" t="n">
        <v>0</v>
      </c>
      <c r="AM15" s="159" t="n">
        <v>1</v>
      </c>
      <c r="AN15" s="163" t="n">
        <v>0</v>
      </c>
      <c r="AO15" s="163" t="n">
        <v>0</v>
      </c>
      <c r="AP15" s="165" t="n">
        <v>1</v>
      </c>
      <c r="AQ15" s="169" t="n">
        <v>0</v>
      </c>
      <c r="AR15" s="172" t="n">
        <v>0</v>
      </c>
      <c r="AS15" s="175" t="n">
        <v>0</v>
      </c>
      <c r="AT15" s="178" t="n">
        <v>0</v>
      </c>
      <c r="AU15" s="178" t="n">
        <v>0</v>
      </c>
      <c r="AV15" s="180" t="n">
        <v>1</v>
      </c>
      <c r="AW15" s="183" t="n">
        <v>0</v>
      </c>
      <c r="AX15" s="184" t="n">
        <v>1</v>
      </c>
      <c r="AY15" s="187" t="n">
        <v>0</v>
      </c>
      <c r="AZ15" s="190" t="n">
        <v>1</v>
      </c>
      <c r="BA15" s="192" t="n">
        <v>0</v>
      </c>
      <c r="BB15" s="196" t="n">
        <v>0</v>
      </c>
      <c r="BC15" s="199" t="n">
        <v>0</v>
      </c>
      <c r="BD15" s="202" t="n">
        <v>0</v>
      </c>
      <c r="BE15" s="204" t="n">
        <v>1</v>
      </c>
      <c r="BF15" s="205" t="n">
        <v>0</v>
      </c>
      <c r="BG15" s="208" t="n">
        <v>0</v>
      </c>
      <c r="BH15" s="211" t="n">
        <v>0</v>
      </c>
      <c r="BI15" s="211" t="n">
        <v>0</v>
      </c>
      <c r="BJ15" s="210" t="n">
        <v>1</v>
      </c>
      <c r="BK15" s="211" t="n">
        <v>0</v>
      </c>
      <c r="BL15" s="211" t="n">
        <v>0</v>
      </c>
      <c r="BM15" s="211" t="n">
        <v>0</v>
      </c>
      <c r="BN15" s="214" t="n">
        <v>1</v>
      </c>
      <c r="BO15" s="215" t="n">
        <v>0</v>
      </c>
      <c r="BP15" s="215" t="n">
        <v>0</v>
      </c>
      <c r="BQ15" s="215" t="n">
        <v>0</v>
      </c>
    </row>
    <row r="16">
      <c r="A16" s="22">
        <f>"https://open.spotify.com/playlist/" &amp; C16</f>
        <v/>
      </c>
      <c r="B16" s="1" t="inlineStr">
        <is>
          <t>HIIT Training — ADRENALINE Rush — Power &amp; Intensity Beats 🔥⚡</t>
        </is>
      </c>
      <c r="C16" s="1" t="inlineStr">
        <is>
          <t>650WB59YTZQ67xCW0BuLvR</t>
        </is>
      </c>
      <c r="D16" s="3" t="n">
        <v>37</v>
      </c>
      <c r="E16" s="21" t="n">
        <v>0</v>
      </c>
      <c r="F16" s="26" t="n">
        <v>1</v>
      </c>
      <c r="G16" s="26" t="n">
        <v>1</v>
      </c>
      <c r="H16" s="29" t="n">
        <v>0</v>
      </c>
      <c r="I16" s="32" t="n">
        <v>0</v>
      </c>
      <c r="J16" s="73" t="n">
        <v>1</v>
      </c>
      <c r="K16" s="77" t="n">
        <v>1</v>
      </c>
      <c r="L16" s="80" t="n">
        <v>0</v>
      </c>
      <c r="M16" s="83" t="n">
        <v>0</v>
      </c>
      <c r="N16" s="86" t="n">
        <v>0</v>
      </c>
      <c r="O16" s="89" t="n">
        <v>1</v>
      </c>
      <c r="P16" s="92" t="n">
        <v>1</v>
      </c>
      <c r="Q16" s="96" t="n">
        <v>0</v>
      </c>
      <c r="R16" s="98" t="n">
        <v>0</v>
      </c>
      <c r="S16" s="101" t="n">
        <v>1</v>
      </c>
      <c r="T16" s="105" t="n">
        <v>0</v>
      </c>
      <c r="U16" s="107" t="n">
        <v>2</v>
      </c>
      <c r="V16" s="111" t="n">
        <v>0</v>
      </c>
      <c r="W16" s="114" t="n">
        <v>-1</v>
      </c>
      <c r="X16" s="117" t="n">
        <v>0</v>
      </c>
      <c r="Y16" s="119" t="n">
        <v>1</v>
      </c>
      <c r="Z16" s="123" t="n">
        <v>0</v>
      </c>
      <c r="AA16" s="126" t="n">
        <v>1</v>
      </c>
      <c r="AB16" s="129" t="n">
        <v>1</v>
      </c>
      <c r="AC16" s="132" t="n">
        <v>1</v>
      </c>
      <c r="AD16" s="135" t="n">
        <v>1</v>
      </c>
      <c r="AE16" s="138" t="n">
        <v>0</v>
      </c>
      <c r="AF16" s="141" t="n">
        <v>1</v>
      </c>
      <c r="AG16" s="144" t="n">
        <v>1</v>
      </c>
      <c r="AH16" s="147" t="n">
        <v>1</v>
      </c>
      <c r="AI16" s="151" t="n">
        <v>-1</v>
      </c>
      <c r="AJ16" s="154" t="n">
        <v>0</v>
      </c>
      <c r="AK16" s="152" t="n">
        <v>2</v>
      </c>
      <c r="AL16" s="157" t="n">
        <v>1</v>
      </c>
      <c r="AM16" s="160" t="n">
        <v>0</v>
      </c>
      <c r="AN16" s="163" t="n">
        <v>0</v>
      </c>
      <c r="AO16" s="163" t="n">
        <v>0</v>
      </c>
      <c r="AP16" s="166" t="n">
        <v>0</v>
      </c>
      <c r="AQ16" s="169" t="n">
        <v>0</v>
      </c>
      <c r="AR16" s="171" t="n">
        <v>1</v>
      </c>
      <c r="AS16" s="175" t="n">
        <v>0</v>
      </c>
      <c r="AT16" s="178" t="n">
        <v>0</v>
      </c>
      <c r="AU16" s="177" t="n">
        <v>1</v>
      </c>
      <c r="AV16" s="180" t="n">
        <v>1</v>
      </c>
      <c r="AW16" s="184" t="n">
        <v>1</v>
      </c>
      <c r="AX16" s="183" t="n">
        <v>0</v>
      </c>
      <c r="AY16" s="186" t="n">
        <v>1</v>
      </c>
      <c r="AZ16" s="189" t="n">
        <v>0</v>
      </c>
      <c r="BA16" s="192" t="n">
        <v>0</v>
      </c>
      <c r="BB16" s="196" t="n">
        <v>0</v>
      </c>
      <c r="BC16" s="198" t="n">
        <v>1</v>
      </c>
      <c r="BD16" s="201" t="n">
        <v>2</v>
      </c>
      <c r="BE16" s="205" t="n">
        <v>0</v>
      </c>
      <c r="BF16" s="205" t="n">
        <v>0</v>
      </c>
      <c r="BG16" s="208" t="n">
        <v>0</v>
      </c>
      <c r="BH16" s="211" t="n">
        <v>0</v>
      </c>
      <c r="BI16" s="211" t="n">
        <v>0</v>
      </c>
      <c r="BJ16" s="211" t="n">
        <v>0</v>
      </c>
      <c r="BK16" s="210" t="n">
        <v>1</v>
      </c>
      <c r="BL16" s="211" t="n">
        <v>0</v>
      </c>
      <c r="BM16" s="211" t="n">
        <v>0</v>
      </c>
      <c r="BN16" s="215" t="n">
        <v>0</v>
      </c>
      <c r="BO16" s="215" t="n">
        <v>0</v>
      </c>
      <c r="BP16" s="215" t="n">
        <v>0</v>
      </c>
      <c r="BQ16" s="215" t="n">
        <v>0</v>
      </c>
    </row>
    <row r="17">
      <c r="A17" s="22">
        <f>"https://open.spotify.com/playlist/" &amp; C17</f>
        <v/>
      </c>
      <c r="B17" s="1" t="inlineStr">
        <is>
          <t>GYM HOUSE 130-140 BPM 💪 HOUSE MIX 🏋️ WORKOUT MOTIVATION</t>
        </is>
      </c>
      <c r="C17" s="1" t="inlineStr">
        <is>
          <t>1kDvuqfbajL0YWZlTfwfev</t>
        </is>
      </c>
      <c r="D17" s="3" t="n">
        <v>115</v>
      </c>
      <c r="E17" s="21" t="n">
        <v>0</v>
      </c>
      <c r="F17" s="25" t="n">
        <v>0</v>
      </c>
      <c r="G17" s="26" t="n">
        <v>1</v>
      </c>
      <c r="H17" s="29" t="n">
        <v>0</v>
      </c>
      <c r="I17" s="31" t="n">
        <v>1</v>
      </c>
      <c r="J17" s="74" t="n">
        <v>0</v>
      </c>
      <c r="K17" s="76" t="n">
        <v>0</v>
      </c>
      <c r="L17" s="79" t="n">
        <v>3</v>
      </c>
      <c r="M17" s="82" t="n">
        <v>2</v>
      </c>
      <c r="N17" s="84" t="n">
        <v>6</v>
      </c>
      <c r="O17" s="89" t="n">
        <v>2</v>
      </c>
      <c r="P17" s="91" t="n">
        <v>4</v>
      </c>
      <c r="Q17" s="95" t="n">
        <v>1</v>
      </c>
      <c r="R17" s="99" t="n">
        <v>2</v>
      </c>
      <c r="S17" s="101" t="n">
        <v>2</v>
      </c>
      <c r="T17" s="105" t="n">
        <v>0</v>
      </c>
      <c r="U17" s="107" t="n">
        <v>1</v>
      </c>
      <c r="V17" s="110" t="n">
        <v>2</v>
      </c>
      <c r="W17" s="113" t="n">
        <v>3</v>
      </c>
      <c r="X17" s="117" t="n">
        <v>0</v>
      </c>
      <c r="Y17" s="118" t="n">
        <v>4</v>
      </c>
      <c r="Z17" s="121" t="n">
        <v>3</v>
      </c>
      <c r="AA17" s="126" t="n">
        <v>1</v>
      </c>
      <c r="AB17" s="129" t="n">
        <v>1</v>
      </c>
      <c r="AC17" s="132" t="n">
        <v>3</v>
      </c>
      <c r="AD17" s="136" t="n">
        <v>0</v>
      </c>
      <c r="AE17" s="139" t="n">
        <v>2</v>
      </c>
      <c r="AF17" s="140" t="n">
        <v>8</v>
      </c>
      <c r="AG17" s="145" t="n">
        <v>0</v>
      </c>
      <c r="AH17" s="147" t="n">
        <v>3</v>
      </c>
      <c r="AI17" s="150" t="n">
        <v>1</v>
      </c>
      <c r="AJ17" s="152" t="n">
        <v>1</v>
      </c>
      <c r="AK17" s="153" t="n">
        <v>4</v>
      </c>
      <c r="AL17" s="157" t="n">
        <v>1</v>
      </c>
      <c r="AM17" s="159" t="n">
        <v>3</v>
      </c>
      <c r="AN17" s="161" t="n">
        <v>3</v>
      </c>
      <c r="AO17" s="161" t="n">
        <v>3</v>
      </c>
      <c r="AP17" s="165" t="n">
        <v>2</v>
      </c>
      <c r="AQ17" s="168" t="n">
        <v>1</v>
      </c>
      <c r="AR17" s="171" t="n">
        <v>1</v>
      </c>
      <c r="AS17" s="175" t="n">
        <v>0</v>
      </c>
      <c r="AT17" s="177" t="n">
        <v>1</v>
      </c>
      <c r="AU17" s="177" t="n">
        <v>2</v>
      </c>
      <c r="AV17" s="180" t="n">
        <v>1</v>
      </c>
      <c r="AW17" s="183" t="n">
        <v>0</v>
      </c>
      <c r="AX17" s="184" t="n">
        <v>1</v>
      </c>
      <c r="AY17" s="186" t="n">
        <v>2</v>
      </c>
      <c r="AZ17" s="190" t="n">
        <v>1</v>
      </c>
      <c r="BA17" s="191" t="n">
        <v>1</v>
      </c>
      <c r="BB17" s="194" t="n">
        <v>2</v>
      </c>
      <c r="BC17" s="197" t="n">
        <v>4</v>
      </c>
      <c r="BD17" s="201" t="n">
        <v>2</v>
      </c>
      <c r="BE17" s="204" t="n">
        <v>1</v>
      </c>
      <c r="BF17" s="204" t="n">
        <v>1</v>
      </c>
      <c r="BG17" s="207" t="n">
        <v>2</v>
      </c>
      <c r="BH17" s="211" t="n">
        <v>0</v>
      </c>
      <c r="BI17" s="210" t="n">
        <v>3</v>
      </c>
      <c r="BJ17" s="211" t="n">
        <v>-1</v>
      </c>
      <c r="BK17" s="211" t="n">
        <v>0</v>
      </c>
      <c r="BL17" s="210" t="n">
        <v>1</v>
      </c>
      <c r="BM17" s="210" t="n">
        <v>1</v>
      </c>
      <c r="BN17" s="214" t="n">
        <v>1</v>
      </c>
      <c r="BO17" s="215" t="n">
        <v>0</v>
      </c>
      <c r="BP17" s="214" t="n">
        <v>2</v>
      </c>
      <c r="BQ17" s="214" t="n">
        <v>2</v>
      </c>
    </row>
    <row r="18">
      <c r="A18" s="22">
        <f>"https://open.spotify.com/playlist/" &amp; C18</f>
        <v/>
      </c>
      <c r="B18" s="1" t="inlineStr">
        <is>
          <t>ICONIC Wine &amp; Sunshine 🍷 | Summer Beach Drinking Playlist</t>
        </is>
      </c>
      <c r="C18" s="1" t="inlineStr">
        <is>
          <t>7A7121mGYNC4uYEPpaQejI</t>
        </is>
      </c>
      <c r="D18" s="3" t="n">
        <v>17</v>
      </c>
      <c r="E18" s="21" t="n">
        <v>0</v>
      </c>
      <c r="F18" s="25" t="n">
        <v>0</v>
      </c>
      <c r="G18" s="25" t="n">
        <v>0</v>
      </c>
      <c r="H18" s="29" t="n">
        <v>0</v>
      </c>
      <c r="I18" s="31" t="n">
        <v>1</v>
      </c>
      <c r="J18" s="74" t="n">
        <v>0</v>
      </c>
      <c r="K18" s="76" t="n">
        <v>0</v>
      </c>
      <c r="L18" s="80" t="n">
        <v>0</v>
      </c>
      <c r="M18" s="83" t="n">
        <v>0</v>
      </c>
      <c r="N18" s="85" t="n">
        <v>1</v>
      </c>
      <c r="O18" s="90" t="n">
        <v>0</v>
      </c>
      <c r="P18" s="93" t="n">
        <v>0</v>
      </c>
      <c r="Q18" s="95" t="n">
        <v>2</v>
      </c>
      <c r="R18" s="98" t="n">
        <v>0</v>
      </c>
      <c r="S18" s="102" t="n">
        <v>0</v>
      </c>
      <c r="T18" s="104" t="n">
        <v>1</v>
      </c>
      <c r="U18" s="108" t="n">
        <v>0</v>
      </c>
      <c r="V18" s="111" t="n">
        <v>0</v>
      </c>
      <c r="W18" s="114" t="n">
        <v>-1</v>
      </c>
      <c r="X18" s="117" t="n">
        <v>0</v>
      </c>
      <c r="Y18" s="120" t="n">
        <v>0</v>
      </c>
      <c r="Z18" s="121" t="n">
        <v>1</v>
      </c>
      <c r="AA18" s="127" t="n">
        <v>0</v>
      </c>
      <c r="AB18" s="130" t="n">
        <v>0</v>
      </c>
      <c r="AC18" s="133" t="n">
        <v>0</v>
      </c>
      <c r="AD18" s="135" t="n">
        <v>1</v>
      </c>
      <c r="AE18" s="138" t="n">
        <v>0</v>
      </c>
      <c r="AF18" s="141" t="n">
        <v>1</v>
      </c>
      <c r="AG18" s="145" t="n">
        <v>0</v>
      </c>
      <c r="AH18" s="148" t="n">
        <v>0</v>
      </c>
      <c r="AI18" s="151" t="n">
        <v>0</v>
      </c>
      <c r="AJ18" s="154" t="n">
        <v>0</v>
      </c>
      <c r="AK18" s="154" t="n">
        <v>0</v>
      </c>
      <c r="AL18" s="156" t="n">
        <v>0</v>
      </c>
      <c r="AM18" s="160" t="n">
        <v>0</v>
      </c>
      <c r="AN18" s="163" t="n">
        <v>0</v>
      </c>
      <c r="AO18" s="163" t="n">
        <v>0</v>
      </c>
      <c r="AP18" s="166" t="n">
        <v>0</v>
      </c>
      <c r="AQ18" s="169" t="n">
        <v>0</v>
      </c>
      <c r="AR18" s="172" t="n">
        <v>0</v>
      </c>
      <c r="AS18" s="175" t="n">
        <v>0</v>
      </c>
      <c r="AT18" s="178" t="n">
        <v>0</v>
      </c>
      <c r="AU18" s="178" t="n">
        <v>0</v>
      </c>
      <c r="AV18" s="181" t="n">
        <v>0</v>
      </c>
      <c r="AW18" s="183" t="n">
        <v>0</v>
      </c>
      <c r="AX18" s="183" t="n">
        <v>0</v>
      </c>
      <c r="AY18" s="187" t="n">
        <v>0</v>
      </c>
      <c r="AZ18" s="189" t="n">
        <v>0</v>
      </c>
      <c r="BA18" s="192" t="n">
        <v>0</v>
      </c>
      <c r="BB18" s="196" t="n">
        <v>0</v>
      </c>
      <c r="BC18" s="199" t="n">
        <v>0</v>
      </c>
      <c r="BD18" s="202" t="n">
        <v>0</v>
      </c>
      <c r="BE18" s="205" t="n">
        <v>0</v>
      </c>
      <c r="BF18" s="205" t="n">
        <v>0</v>
      </c>
      <c r="BG18" s="208" t="n">
        <v>0</v>
      </c>
      <c r="BH18" s="211" t="n">
        <v>0</v>
      </c>
      <c r="BI18" s="211" t="n">
        <v>0</v>
      </c>
      <c r="BJ18" s="211" t="n">
        <v>0</v>
      </c>
      <c r="BK18" s="211" t="n">
        <v>0</v>
      </c>
      <c r="BL18" s="211" t="n">
        <v>0</v>
      </c>
      <c r="BM18" s="211" t="n">
        <v>0</v>
      </c>
      <c r="BN18" s="215" t="n">
        <v>0</v>
      </c>
      <c r="BO18" s="215" t="n">
        <v>0</v>
      </c>
      <c r="BP18" s="215" t="n">
        <v>0</v>
      </c>
      <c r="BQ18" s="215" t="n">
        <v>0</v>
      </c>
    </row>
    <row r="19">
      <c r="A19" s="22">
        <f>"https://open.spotify.com/playlist/" &amp; C19</f>
        <v/>
      </c>
      <c r="B19" s="1" t="inlineStr">
        <is>
          <t>Interval Training — Beast Mode Tempo ⏱️🔥</t>
        </is>
      </c>
      <c r="C19" s="1" t="inlineStr">
        <is>
          <t>4MY3wU0sq8N7yPAceJl6P3</t>
        </is>
      </c>
      <c r="D19" s="3" t="n">
        <v>54</v>
      </c>
      <c r="E19" s="20" t="n">
        <v>3</v>
      </c>
      <c r="F19" s="25" t="n">
        <v>0</v>
      </c>
      <c r="G19" s="25" t="n">
        <v>0</v>
      </c>
      <c r="H19" s="28" t="n">
        <v>2</v>
      </c>
      <c r="I19" s="30" t="n">
        <v>4</v>
      </c>
      <c r="J19" s="73" t="n">
        <v>2</v>
      </c>
      <c r="K19" s="76" t="n">
        <v>0</v>
      </c>
      <c r="L19" s="79" t="n">
        <v>3</v>
      </c>
      <c r="M19" s="83" t="n">
        <v>0</v>
      </c>
      <c r="N19" s="86" t="n">
        <v>0</v>
      </c>
      <c r="O19" s="90" t="n">
        <v>0</v>
      </c>
      <c r="P19" s="92" t="n">
        <v>2</v>
      </c>
      <c r="Q19" s="96" t="n">
        <v>0</v>
      </c>
      <c r="R19" s="99" t="n">
        <v>2</v>
      </c>
      <c r="S19" s="102" t="n">
        <v>0</v>
      </c>
      <c r="T19" s="105" t="n">
        <v>0</v>
      </c>
      <c r="U19" s="108" t="n">
        <v>0</v>
      </c>
      <c r="V19" s="111" t="n">
        <v>0</v>
      </c>
      <c r="W19" s="114" t="n">
        <v>0</v>
      </c>
      <c r="X19" s="117" t="n">
        <v>0</v>
      </c>
      <c r="Y19" s="120" t="n">
        <v>0</v>
      </c>
      <c r="Z19" s="123" t="n">
        <v>0</v>
      </c>
      <c r="AA19" s="126" t="n">
        <v>1</v>
      </c>
      <c r="AB19" s="129" t="n">
        <v>2</v>
      </c>
      <c r="AC19" s="132" t="n">
        <v>1</v>
      </c>
      <c r="AD19" s="135" t="n">
        <v>2</v>
      </c>
      <c r="AE19" s="138" t="n">
        <v>0</v>
      </c>
      <c r="AF19" s="142" t="n">
        <v>-1</v>
      </c>
      <c r="AG19" s="145" t="n">
        <v>0</v>
      </c>
      <c r="AH19" s="147" t="n">
        <v>1</v>
      </c>
      <c r="AI19" s="149" t="n">
        <v>4</v>
      </c>
      <c r="AJ19" s="154" t="n">
        <v>0</v>
      </c>
      <c r="AK19" s="152" t="n">
        <v>1</v>
      </c>
      <c r="AL19" s="157" t="n">
        <v>1</v>
      </c>
      <c r="AM19" s="160" t="n">
        <v>0</v>
      </c>
      <c r="AN19" s="162" t="n">
        <v>1</v>
      </c>
      <c r="AO19" s="162" t="n">
        <v>0</v>
      </c>
      <c r="AP19" s="166" t="n">
        <v>0</v>
      </c>
      <c r="AQ19" s="169" t="n">
        <v>0</v>
      </c>
      <c r="AR19" s="171" t="n">
        <v>1</v>
      </c>
      <c r="AS19" s="174" t="n">
        <v>1</v>
      </c>
      <c r="AT19" s="178" t="n">
        <v>0</v>
      </c>
      <c r="AU19" s="177" t="n">
        <v>1</v>
      </c>
      <c r="AV19" s="181" t="n">
        <v>0</v>
      </c>
      <c r="AW19" s="183" t="n">
        <v>0</v>
      </c>
      <c r="AX19" s="184" t="n">
        <v>3</v>
      </c>
      <c r="AY19" s="186" t="n">
        <v>1</v>
      </c>
      <c r="AZ19" s="190" t="n">
        <v>1</v>
      </c>
      <c r="BA19" s="192" t="n">
        <v>0</v>
      </c>
      <c r="BB19" s="196" t="n">
        <v>-1</v>
      </c>
      <c r="BC19" s="199" t="n">
        <v>0</v>
      </c>
      <c r="BD19" s="201" t="n">
        <v>1</v>
      </c>
      <c r="BE19" s="204" t="n">
        <v>2</v>
      </c>
      <c r="BF19" s="205" t="n">
        <v>0</v>
      </c>
      <c r="BG19" s="207" t="n">
        <v>1</v>
      </c>
      <c r="BH19" s="211" t="n">
        <v>0</v>
      </c>
      <c r="BI19" s="211" t="n">
        <v>0</v>
      </c>
      <c r="BJ19" s="210" t="n">
        <v>1</v>
      </c>
      <c r="BK19" s="211" t="n">
        <v>0</v>
      </c>
      <c r="BL19" s="211" t="n">
        <v>0</v>
      </c>
      <c r="BM19" s="211" t="n">
        <v>0</v>
      </c>
      <c r="BN19" s="214" t="n">
        <v>1</v>
      </c>
      <c r="BO19" s="215" t="n">
        <v>0</v>
      </c>
      <c r="BP19" s="214" t="n">
        <v>1</v>
      </c>
      <c r="BQ19" s="215" t="n">
        <v>0</v>
      </c>
    </row>
    <row r="20">
      <c r="A20" s="22">
        <f>"https://open.spotify.com/playlist/" &amp; C20</f>
        <v/>
      </c>
      <c r="B20" s="1" t="inlineStr">
        <is>
          <t>Jump Rope &amp; Rowing 2026 | Cardio Burn &amp; Endurance Sweat 🔥🚣</t>
        </is>
      </c>
      <c r="C20" s="1" t="inlineStr">
        <is>
          <t>7bjFZfRI42qHT3iziGKcGb</t>
        </is>
      </c>
      <c r="D20" s="3" t="n">
        <v>42</v>
      </c>
      <c r="E20" s="20" t="n">
        <v>1</v>
      </c>
      <c r="F20" s="26" t="n">
        <v>2</v>
      </c>
      <c r="G20" s="26" t="n">
        <v>1</v>
      </c>
      <c r="H20" s="28" t="n">
        <v>3</v>
      </c>
      <c r="I20" s="31" t="n">
        <v>1</v>
      </c>
      <c r="J20" s="73" t="n">
        <v>2</v>
      </c>
      <c r="K20" s="76" t="n">
        <v>0</v>
      </c>
      <c r="L20" s="79" t="n">
        <v>2</v>
      </c>
      <c r="M20" s="82" t="n">
        <v>1</v>
      </c>
      <c r="N20" s="85" t="n">
        <v>2</v>
      </c>
      <c r="O20" s="90" t="n">
        <v>0</v>
      </c>
      <c r="P20" s="92" t="n">
        <v>1</v>
      </c>
      <c r="Q20" s="96" t="n">
        <v>0</v>
      </c>
      <c r="R20" s="98" t="n">
        <v>0</v>
      </c>
      <c r="S20" s="102" t="n">
        <v>0</v>
      </c>
      <c r="T20" s="104" t="n">
        <v>3</v>
      </c>
      <c r="U20" s="107" t="n">
        <v>1</v>
      </c>
      <c r="V20" s="110" t="n">
        <v>1</v>
      </c>
      <c r="W20" s="113" t="n">
        <v>3</v>
      </c>
      <c r="X20" s="117" t="n">
        <v>0</v>
      </c>
      <c r="Y20" s="120" t="n">
        <v>0</v>
      </c>
      <c r="Z20" s="123" t="n">
        <v>0</v>
      </c>
      <c r="AA20" s="127" t="n">
        <v>0</v>
      </c>
      <c r="AB20" s="130" t="n">
        <v>0</v>
      </c>
      <c r="AC20" s="133" t="n">
        <v>0</v>
      </c>
      <c r="AD20" s="136" t="n">
        <v>0</v>
      </c>
      <c r="AE20" s="138" t="n">
        <v>0</v>
      </c>
      <c r="AF20" s="142" t="n">
        <v>0</v>
      </c>
      <c r="AG20" s="144" t="n">
        <v>1</v>
      </c>
      <c r="AH20" s="148" t="n">
        <v>0</v>
      </c>
      <c r="AI20" s="151" t="n">
        <v>0</v>
      </c>
      <c r="AJ20" s="154" t="n">
        <v>0</v>
      </c>
      <c r="AK20" s="154" t="n">
        <v>0</v>
      </c>
      <c r="AL20" s="156" t="n">
        <v>0</v>
      </c>
      <c r="AM20" s="160" t="n">
        <v>0</v>
      </c>
      <c r="AN20" s="163" t="n">
        <v>0</v>
      </c>
      <c r="AO20" s="163" t="n">
        <v>0</v>
      </c>
      <c r="AP20" s="166" t="n">
        <v>0</v>
      </c>
      <c r="AQ20" s="168" t="n">
        <v>1</v>
      </c>
      <c r="AR20" s="172" t="n">
        <v>0</v>
      </c>
      <c r="AS20" s="175" t="n">
        <v>0</v>
      </c>
      <c r="AT20" s="177" t="n">
        <v>1</v>
      </c>
      <c r="AU20" s="178" t="n">
        <v>0</v>
      </c>
      <c r="AV20" s="181" t="n">
        <v>0</v>
      </c>
      <c r="AW20" s="183" t="n">
        <v>0</v>
      </c>
      <c r="AX20" s="183" t="n">
        <v>0</v>
      </c>
      <c r="AY20" s="187" t="n">
        <v>0</v>
      </c>
      <c r="AZ20" s="189" t="n">
        <v>0</v>
      </c>
      <c r="BA20" s="191" t="n">
        <v>2</v>
      </c>
      <c r="BB20" s="196" t="n">
        <v>0</v>
      </c>
      <c r="BC20" s="199" t="n">
        <v>0</v>
      </c>
      <c r="BD20" s="202" t="n">
        <v>0</v>
      </c>
      <c r="BE20" s="205" t="n">
        <v>0</v>
      </c>
      <c r="BF20" s="205" t="n">
        <v>0</v>
      </c>
      <c r="BG20" s="207" t="n">
        <v>1</v>
      </c>
      <c r="BH20" s="211" t="n">
        <v>0</v>
      </c>
      <c r="BI20" s="210" t="n">
        <v>2</v>
      </c>
      <c r="BJ20" s="211" t="n">
        <v>-1</v>
      </c>
      <c r="BK20" s="211" t="n">
        <v>0</v>
      </c>
      <c r="BL20" s="211" t="n">
        <v>0</v>
      </c>
      <c r="BM20" s="211" t="n">
        <v>0</v>
      </c>
      <c r="BN20" s="215" t="n">
        <v>0</v>
      </c>
      <c r="BO20" s="214" t="n">
        <v>1</v>
      </c>
      <c r="BP20" s="214" t="n">
        <v>1</v>
      </c>
      <c r="BQ20" s="215" t="n">
        <v>0</v>
      </c>
    </row>
    <row r="21">
      <c r="A21" s="22">
        <f>"https://open.spotify.com/playlist/" &amp; C21</f>
        <v/>
      </c>
      <c r="B21" s="1" t="inlineStr">
        <is>
          <t>Military Workout Training — Intensity &amp; Power 🎖️🔥</t>
        </is>
      </c>
      <c r="C21" s="1" t="inlineStr">
        <is>
          <t>766aHM66AeWCEhe8TbawjJ</t>
        </is>
      </c>
      <c r="D21" s="3" t="n">
        <v>58</v>
      </c>
      <c r="E21" s="21" t="n">
        <v>0</v>
      </c>
      <c r="F21" s="26" t="n">
        <v>1</v>
      </c>
      <c r="G21" s="25" t="n">
        <v>0</v>
      </c>
      <c r="H21" s="29" t="n">
        <v>0</v>
      </c>
      <c r="I21" s="31" t="n">
        <v>2</v>
      </c>
      <c r="J21" s="73" t="n">
        <v>3</v>
      </c>
      <c r="K21" s="76" t="n">
        <v>0</v>
      </c>
      <c r="L21" s="80" t="n">
        <v>0</v>
      </c>
      <c r="M21" s="82" t="n">
        <v>1</v>
      </c>
      <c r="N21" s="85" t="n">
        <v>1</v>
      </c>
      <c r="O21" s="90" t="n">
        <v>0</v>
      </c>
      <c r="P21" s="92" t="n">
        <v>1</v>
      </c>
      <c r="Q21" s="95" t="n">
        <v>1</v>
      </c>
      <c r="R21" s="99" t="n">
        <v>1</v>
      </c>
      <c r="S21" s="101" t="n">
        <v>2</v>
      </c>
      <c r="T21" s="105" t="n">
        <v>0</v>
      </c>
      <c r="U21" s="108" t="n">
        <v>0</v>
      </c>
      <c r="V21" s="110" t="n">
        <v>3</v>
      </c>
      <c r="W21" s="113" t="n">
        <v>1</v>
      </c>
      <c r="X21" s="116" t="n">
        <v>1</v>
      </c>
      <c r="Y21" s="120" t="n">
        <v>0</v>
      </c>
      <c r="Z21" s="121" t="n">
        <v>2</v>
      </c>
      <c r="AA21" s="127" t="n">
        <v>0</v>
      </c>
      <c r="AB21" s="129" t="n">
        <v>2</v>
      </c>
      <c r="AC21" s="132" t="n">
        <v>1</v>
      </c>
      <c r="AD21" s="135" t="n">
        <v>1</v>
      </c>
      <c r="AE21" s="139" t="n">
        <v>2</v>
      </c>
      <c r="AF21" s="141" t="n">
        <v>1</v>
      </c>
      <c r="AG21" s="144" t="n">
        <v>1</v>
      </c>
      <c r="AH21" s="148" t="n">
        <v>0</v>
      </c>
      <c r="AI21" s="150" t="n">
        <v>1</v>
      </c>
      <c r="AJ21" s="152" t="n">
        <v>2</v>
      </c>
      <c r="AK21" s="154" t="n">
        <v>0</v>
      </c>
      <c r="AL21" s="157" t="n">
        <v>1</v>
      </c>
      <c r="AM21" s="159" t="n">
        <v>1</v>
      </c>
      <c r="AN21" s="162" t="n">
        <v>1</v>
      </c>
      <c r="AO21" s="162" t="n">
        <v>0</v>
      </c>
      <c r="AP21" s="165" t="n">
        <v>1</v>
      </c>
      <c r="AQ21" s="168" t="n">
        <v>1</v>
      </c>
      <c r="AR21" s="172" t="n">
        <v>0</v>
      </c>
      <c r="AS21" s="174" t="n">
        <v>3</v>
      </c>
      <c r="AT21" s="177" t="n">
        <v>2</v>
      </c>
      <c r="AU21" s="178" t="n">
        <v>0</v>
      </c>
      <c r="AV21" s="180" t="n">
        <v>1</v>
      </c>
      <c r="AW21" s="184" t="n">
        <v>1</v>
      </c>
      <c r="AX21" s="183" t="n">
        <v>0</v>
      </c>
      <c r="AY21" s="187" t="n">
        <v>0</v>
      </c>
      <c r="AZ21" s="189" t="n">
        <v>0</v>
      </c>
      <c r="BA21" s="192" t="n">
        <v>0</v>
      </c>
      <c r="BB21" s="196" t="n">
        <v>0</v>
      </c>
      <c r="BC21" s="199" t="n">
        <v>0</v>
      </c>
      <c r="BD21" s="201" t="n">
        <v>1</v>
      </c>
      <c r="BE21" s="204" t="n">
        <v>1</v>
      </c>
      <c r="BF21" s="205" t="n">
        <v>0</v>
      </c>
      <c r="BG21" s="208" t="n">
        <v>0</v>
      </c>
      <c r="BH21" s="211" t="n">
        <v>0</v>
      </c>
      <c r="BI21" s="210" t="n">
        <v>2</v>
      </c>
      <c r="BJ21" s="210" t="n">
        <v>1</v>
      </c>
      <c r="BK21" s="211" t="n">
        <v>0</v>
      </c>
      <c r="BL21" s="210" t="n">
        <v>1</v>
      </c>
      <c r="BM21" s="211" t="n">
        <v>0</v>
      </c>
      <c r="BN21" s="215" t="n">
        <v>0</v>
      </c>
      <c r="BO21" s="215" t="n">
        <v>0</v>
      </c>
      <c r="BP21" s="215" t="n">
        <v>0</v>
      </c>
      <c r="BQ21" s="215" t="n">
        <v>0</v>
      </c>
    </row>
    <row r="22">
      <c r="A22" s="22">
        <f>"https://open.spotify.com/playlist/" &amp; C22</f>
        <v/>
      </c>
      <c r="B22" s="1" t="inlineStr">
        <is>
          <t>SALTY Hair Don’t Care 🌊 | Beach Sun Vibes Playlist ☀️</t>
        </is>
      </c>
      <c r="C22" s="1" t="inlineStr">
        <is>
          <t>7FmI8Ra3E0RCpWzWtM7UMx</t>
        </is>
      </c>
      <c r="D22" s="3" t="n">
        <v>15</v>
      </c>
      <c r="E22" s="20" t="n">
        <v>2</v>
      </c>
      <c r="F22" s="25" t="n">
        <v>0</v>
      </c>
      <c r="G22" s="26" t="n">
        <v>1</v>
      </c>
      <c r="H22" s="29" t="n">
        <v>-1</v>
      </c>
      <c r="I22" s="32" t="n">
        <v>0</v>
      </c>
      <c r="J22" s="74" t="n">
        <v>0</v>
      </c>
      <c r="K22" s="76" t="n">
        <v>0</v>
      </c>
      <c r="L22" s="79" t="n">
        <v>3</v>
      </c>
      <c r="M22" s="82" t="n">
        <v>1</v>
      </c>
      <c r="N22" s="86" t="n">
        <v>0</v>
      </c>
      <c r="O22" s="90" t="n">
        <v>0</v>
      </c>
      <c r="P22" s="93" t="n">
        <v>0</v>
      </c>
      <c r="Q22" s="96" t="n">
        <v>0</v>
      </c>
      <c r="R22" s="98" t="n">
        <v>0</v>
      </c>
      <c r="S22" s="102" t="n">
        <v>0</v>
      </c>
      <c r="T22" s="104" t="n">
        <v>1</v>
      </c>
      <c r="U22" s="108" t="n">
        <v>0</v>
      </c>
      <c r="V22" s="111" t="n">
        <v>0</v>
      </c>
      <c r="W22" s="114" t="n">
        <v>0</v>
      </c>
      <c r="X22" s="117" t="n">
        <v>0</v>
      </c>
      <c r="Y22" s="120" t="n">
        <v>0</v>
      </c>
      <c r="Z22" s="123" t="n">
        <v>0</v>
      </c>
      <c r="AA22" s="127" t="n">
        <v>0</v>
      </c>
      <c r="AB22" s="130" t="n">
        <v>0</v>
      </c>
      <c r="AC22" s="133" t="n">
        <v>0</v>
      </c>
      <c r="AD22" s="136" t="n">
        <v>0</v>
      </c>
      <c r="AE22" s="138" t="n">
        <v>0</v>
      </c>
      <c r="AF22" s="142" t="n">
        <v>0</v>
      </c>
      <c r="AG22" s="145" t="n">
        <v>0</v>
      </c>
      <c r="AH22" s="148" t="n">
        <v>0</v>
      </c>
      <c r="AI22" s="151" t="n">
        <v>0</v>
      </c>
      <c r="AJ22" s="154" t="n">
        <v>0</v>
      </c>
      <c r="AK22" s="154" t="n">
        <v>0</v>
      </c>
      <c r="AL22" s="156" t="n">
        <v>0</v>
      </c>
      <c r="AM22" s="160" t="n">
        <v>0</v>
      </c>
      <c r="AN22" s="163" t="n">
        <v>0</v>
      </c>
      <c r="AO22" s="163" t="n">
        <v>0</v>
      </c>
      <c r="AP22" s="166" t="n">
        <v>0</v>
      </c>
      <c r="AQ22" s="169" t="n">
        <v>0</v>
      </c>
      <c r="AR22" s="172" t="n">
        <v>0</v>
      </c>
      <c r="AS22" s="175" t="n">
        <v>0</v>
      </c>
      <c r="AT22" s="178" t="n">
        <v>0</v>
      </c>
      <c r="AU22" s="178" t="n">
        <v>0</v>
      </c>
      <c r="AV22" s="181" t="n">
        <v>0</v>
      </c>
      <c r="AW22" s="183" t="n">
        <v>0</v>
      </c>
      <c r="AX22" s="183" t="n">
        <v>0</v>
      </c>
      <c r="AY22" s="187" t="n">
        <v>0</v>
      </c>
      <c r="AZ22" s="189" t="n">
        <v>0</v>
      </c>
      <c r="BA22" s="192" t="n">
        <v>0</v>
      </c>
      <c r="BB22" s="196" t="n">
        <v>0</v>
      </c>
      <c r="BC22" s="199" t="n">
        <v>0</v>
      </c>
      <c r="BD22" s="202" t="n">
        <v>0</v>
      </c>
      <c r="BE22" s="205" t="n">
        <v>0</v>
      </c>
      <c r="BF22" s="205" t="n">
        <v>0</v>
      </c>
      <c r="BG22" s="208" t="n">
        <v>0</v>
      </c>
      <c r="BH22" s="211" t="n">
        <v>0</v>
      </c>
      <c r="BI22" s="211" t="n">
        <v>0</v>
      </c>
      <c r="BJ22" s="211" t="n">
        <v>0</v>
      </c>
      <c r="BK22" s="211" t="n">
        <v>0</v>
      </c>
      <c r="BL22" s="211" t="n">
        <v>0</v>
      </c>
      <c r="BM22" s="211" t="n">
        <v>0</v>
      </c>
      <c r="BN22" s="215" t="n">
        <v>0</v>
      </c>
      <c r="BO22" s="215" t="n">
        <v>0</v>
      </c>
      <c r="BP22" s="215" t="n">
        <v>0</v>
      </c>
      <c r="BQ22" s="215" t="n">
        <v>0</v>
      </c>
    </row>
    <row r="23">
      <c r="A23" s="22">
        <f>"https://open.spotify.com/playlist/" &amp; C23</f>
        <v/>
      </c>
      <c r="B23" s="1" t="inlineStr">
        <is>
          <t>NONCHALANT Summer Camping 🌄 | Summer Picnic Vibes</t>
        </is>
      </c>
      <c r="C23" s="1" t="inlineStr">
        <is>
          <t>7bMBCSkggCW9vH6guc3MBH</t>
        </is>
      </c>
      <c r="D23" s="3" t="n">
        <v>8</v>
      </c>
      <c r="E23" s="21" t="n">
        <v>0</v>
      </c>
      <c r="F23" s="25" t="n">
        <v>0</v>
      </c>
      <c r="G23" s="25" t="n">
        <v>0</v>
      </c>
      <c r="H23" s="29" t="n">
        <v>0</v>
      </c>
      <c r="I23" s="32" t="n">
        <v>0</v>
      </c>
      <c r="J23" s="74" t="n">
        <v>0</v>
      </c>
      <c r="K23" s="76" t="n">
        <v>0</v>
      </c>
      <c r="L23" s="79" t="n">
        <v>1</v>
      </c>
      <c r="M23" s="83" t="n">
        <v>0</v>
      </c>
      <c r="N23" s="86" t="n">
        <v>0</v>
      </c>
      <c r="O23" s="90" t="n">
        <v>0</v>
      </c>
      <c r="P23" s="93" t="n">
        <v>0</v>
      </c>
      <c r="Q23" s="96" t="n">
        <v>0</v>
      </c>
      <c r="R23" s="98" t="n">
        <v>0</v>
      </c>
      <c r="S23" s="102" t="n">
        <v>0</v>
      </c>
      <c r="T23" s="105" t="n">
        <v>0</v>
      </c>
      <c r="U23" s="108" t="n">
        <v>0</v>
      </c>
      <c r="V23" s="111" t="n">
        <v>0</v>
      </c>
      <c r="W23" s="114" t="n">
        <v>0</v>
      </c>
      <c r="X23" s="117" t="n">
        <v>0</v>
      </c>
      <c r="Y23" s="120" t="n">
        <v>0</v>
      </c>
      <c r="Z23" s="123" t="n">
        <v>0</v>
      </c>
      <c r="AA23" s="127" t="n">
        <v>0</v>
      </c>
      <c r="AB23" s="130" t="n">
        <v>0</v>
      </c>
      <c r="AC23" s="133" t="n">
        <v>0</v>
      </c>
      <c r="AD23" s="136" t="n">
        <v>0</v>
      </c>
      <c r="AE23" s="138" t="n">
        <v>0</v>
      </c>
      <c r="AF23" s="142" t="n">
        <v>0</v>
      </c>
      <c r="AG23" s="145" t="n">
        <v>0</v>
      </c>
      <c r="AH23" s="148" t="n">
        <v>0</v>
      </c>
      <c r="AI23" s="151" t="n">
        <v>0</v>
      </c>
      <c r="AJ23" s="154" t="n">
        <v>0</v>
      </c>
      <c r="AK23" s="154" t="n">
        <v>0</v>
      </c>
      <c r="AL23" s="156" t="n">
        <v>0</v>
      </c>
      <c r="AM23" s="160" t="n">
        <v>0</v>
      </c>
      <c r="AN23" s="163" t="n">
        <v>0</v>
      </c>
      <c r="AO23" s="163" t="n">
        <v>0</v>
      </c>
      <c r="AP23" s="166" t="n">
        <v>0</v>
      </c>
      <c r="AQ23" s="169" t="n">
        <v>0</v>
      </c>
      <c r="AR23" s="172" t="n">
        <v>0</v>
      </c>
      <c r="AS23" s="175" t="n">
        <v>0</v>
      </c>
      <c r="AT23" s="178" t="n">
        <v>0</v>
      </c>
      <c r="AU23" s="178" t="n">
        <v>0</v>
      </c>
      <c r="AV23" s="181" t="n">
        <v>0</v>
      </c>
      <c r="AW23" s="183" t="n">
        <v>0</v>
      </c>
      <c r="AX23" s="183" t="n">
        <v>0</v>
      </c>
      <c r="AY23" s="187" t="n">
        <v>0</v>
      </c>
      <c r="AZ23" s="189" t="n">
        <v>0</v>
      </c>
      <c r="BA23" s="192" t="n">
        <v>0</v>
      </c>
      <c r="BB23" s="196" t="n">
        <v>0</v>
      </c>
      <c r="BC23" s="199" t="n">
        <v>0</v>
      </c>
      <c r="BD23" s="202" t="n">
        <v>0</v>
      </c>
      <c r="BE23" s="205" t="n">
        <v>0</v>
      </c>
      <c r="BF23" s="205" t="n">
        <v>0</v>
      </c>
      <c r="BG23" s="208" t="n">
        <v>-1</v>
      </c>
      <c r="BH23" s="211" t="n">
        <v>0</v>
      </c>
      <c r="BI23" s="211" t="n">
        <v>0</v>
      </c>
      <c r="BJ23" s="211" t="n">
        <v>0</v>
      </c>
      <c r="BK23" s="211" t="n">
        <v>0</v>
      </c>
      <c r="BL23" s="211" t="n">
        <v>0</v>
      </c>
      <c r="BM23" s="211" t="n">
        <v>0</v>
      </c>
      <c r="BN23" s="215" t="n">
        <v>0</v>
      </c>
      <c r="BO23" s="215" t="n">
        <v>0</v>
      </c>
      <c r="BP23" s="215" t="n">
        <v>0</v>
      </c>
      <c r="BQ23" s="215" t="n">
        <v>0</v>
      </c>
    </row>
    <row r="24">
      <c r="A24" s="22">
        <f>"https://open.spotify.com/playlist/" &amp; C24</f>
        <v/>
      </c>
      <c r="B24" s="1" t="inlineStr">
        <is>
          <t>BILLIONAIRE Summer 💎 | Alpha Quiet Flex Energy | Luxury Lifestyle</t>
        </is>
      </c>
      <c r="C24" s="1" t="inlineStr">
        <is>
          <t>54Zep2FUd5gnsEtWNPhzN5</t>
        </is>
      </c>
      <c r="D24" s="3" t="n">
        <v>31</v>
      </c>
      <c r="E24" s="21" t="n">
        <v>0</v>
      </c>
      <c r="F24" s="25" t="n">
        <v>0</v>
      </c>
      <c r="G24" s="25" t="n">
        <v>0</v>
      </c>
      <c r="H24" s="29" t="n">
        <v>0</v>
      </c>
      <c r="I24" s="32" t="n">
        <v>0</v>
      </c>
      <c r="J24" s="73" t="n">
        <v>1</v>
      </c>
      <c r="K24" s="76" t="n">
        <v>0</v>
      </c>
      <c r="L24" s="80" t="n">
        <v>0</v>
      </c>
      <c r="M24" s="83" t="n">
        <v>0</v>
      </c>
      <c r="N24" s="86" t="n">
        <v>0</v>
      </c>
      <c r="O24" s="89" t="n">
        <v>1</v>
      </c>
      <c r="P24" s="93" t="n">
        <v>0</v>
      </c>
      <c r="Q24" s="95" t="n">
        <v>1</v>
      </c>
      <c r="R24" s="98" t="n">
        <v>0</v>
      </c>
      <c r="S24" s="102" t="n">
        <v>0</v>
      </c>
      <c r="T24" s="105" t="n">
        <v>0</v>
      </c>
      <c r="U24" s="107" t="n">
        <v>1</v>
      </c>
      <c r="V24" s="111" t="n">
        <v>0</v>
      </c>
      <c r="W24" s="113" t="n">
        <v>1</v>
      </c>
      <c r="X24" s="117" t="n">
        <v>0</v>
      </c>
      <c r="Y24" s="120" t="n">
        <v>0</v>
      </c>
      <c r="Z24" s="121" t="n">
        <v>2</v>
      </c>
      <c r="AA24" s="126" t="n">
        <v>1</v>
      </c>
      <c r="AB24" s="130" t="n">
        <v>0</v>
      </c>
      <c r="AC24" s="132" t="n">
        <v>2</v>
      </c>
      <c r="AD24" s="135" t="n">
        <v>1</v>
      </c>
      <c r="AE24" s="138" t="n">
        <v>0</v>
      </c>
      <c r="AF24" s="141" t="n">
        <v>1</v>
      </c>
      <c r="AG24" s="145" t="n">
        <v>0</v>
      </c>
      <c r="AH24" s="148" t="n">
        <v>0</v>
      </c>
      <c r="AI24" s="151" t="n">
        <v>0</v>
      </c>
      <c r="AJ24" s="154" t="n">
        <v>0</v>
      </c>
      <c r="AK24" s="154" t="n">
        <v>0</v>
      </c>
      <c r="AL24" s="156" t="n">
        <v>0</v>
      </c>
      <c r="AM24" s="159" t="n">
        <v>1</v>
      </c>
      <c r="AN24" s="162" t="n">
        <v>1</v>
      </c>
      <c r="AO24" s="162" t="n">
        <v>1</v>
      </c>
      <c r="AP24" s="165" t="n">
        <v>1</v>
      </c>
      <c r="AQ24" s="169" t="n">
        <v>0</v>
      </c>
      <c r="AR24" s="171" t="n">
        <v>1</v>
      </c>
      <c r="AS24" s="175" t="n">
        <v>0</v>
      </c>
      <c r="AT24" s="178" t="n">
        <v>0</v>
      </c>
      <c r="AU24" s="177" t="n">
        <v>1</v>
      </c>
      <c r="AV24" s="180" t="n">
        <v>1</v>
      </c>
      <c r="AW24" s="183" t="n">
        <v>0</v>
      </c>
      <c r="AX24" s="183" t="n">
        <v>0</v>
      </c>
      <c r="AY24" s="187" t="n">
        <v>0</v>
      </c>
      <c r="AZ24" s="190" t="n">
        <v>1</v>
      </c>
      <c r="BA24" s="192" t="n">
        <v>0</v>
      </c>
      <c r="BB24" s="194" t="n">
        <v>1</v>
      </c>
      <c r="BC24" s="199" t="n">
        <v>0</v>
      </c>
      <c r="BD24" s="202" t="n">
        <v>0</v>
      </c>
      <c r="BE24" s="205" t="n">
        <v>0</v>
      </c>
      <c r="BF24" s="204" t="n">
        <v>1</v>
      </c>
      <c r="BG24" s="208" t="n">
        <v>0</v>
      </c>
      <c r="BH24" s="211" t="n">
        <v>0</v>
      </c>
      <c r="BI24" s="211" t="n">
        <v>0</v>
      </c>
      <c r="BJ24" s="211" t="n">
        <v>0</v>
      </c>
      <c r="BK24" s="211" t="n">
        <v>0</v>
      </c>
      <c r="BL24" s="210" t="n">
        <v>1</v>
      </c>
      <c r="BM24" s="211" t="n">
        <v>0</v>
      </c>
      <c r="BN24" s="215" t="n">
        <v>0</v>
      </c>
      <c r="BO24" s="215" t="n">
        <v>0</v>
      </c>
      <c r="BP24" s="215" t="n">
        <v>0</v>
      </c>
      <c r="BQ24" s="215" t="n">
        <v>0</v>
      </c>
    </row>
    <row r="25">
      <c r="A25" s="22">
        <f>"https://open.spotify.com/playlist/" &amp; C25</f>
        <v/>
      </c>
      <c r="B25" s="1" t="inlineStr">
        <is>
          <t>Boxing Training — Beast Mode Power Mix 🥊🔥</t>
        </is>
      </c>
      <c r="C25" s="1" t="inlineStr">
        <is>
          <t>2O7NX5trzmuXKIqwicjMXG</t>
        </is>
      </c>
      <c r="D25" s="3" t="n">
        <v>36</v>
      </c>
      <c r="E25" s="21" t="n">
        <v>0</v>
      </c>
      <c r="F25" s="26" t="n">
        <v>1</v>
      </c>
      <c r="G25" s="25" t="n">
        <v>0</v>
      </c>
      <c r="H25" s="28" t="n">
        <v>1</v>
      </c>
      <c r="I25" s="31" t="n">
        <v>1</v>
      </c>
      <c r="J25" s="74" t="n">
        <v>0</v>
      </c>
      <c r="K25" s="76" t="n">
        <v>0</v>
      </c>
      <c r="L25" s="79" t="n">
        <v>1</v>
      </c>
      <c r="M25" s="83" t="n">
        <v>0</v>
      </c>
      <c r="N25" s="86" t="n">
        <v>0</v>
      </c>
      <c r="O25" s="89" t="n">
        <v>2</v>
      </c>
      <c r="P25" s="92" t="n">
        <v>2</v>
      </c>
      <c r="Q25" s="95" t="n">
        <v>1</v>
      </c>
      <c r="R25" s="99" t="n">
        <v>1</v>
      </c>
      <c r="S25" s="101" t="n">
        <v>1</v>
      </c>
      <c r="T25" s="104" t="n">
        <v>1</v>
      </c>
      <c r="U25" s="107" t="n">
        <v>1</v>
      </c>
      <c r="V25" s="110" t="n">
        <v>3</v>
      </c>
      <c r="W25" s="114" t="n">
        <v>-1</v>
      </c>
      <c r="X25" s="117" t="n">
        <v>0</v>
      </c>
      <c r="Y25" s="120" t="n">
        <v>0</v>
      </c>
      <c r="Z25" s="123" t="n">
        <v>0</v>
      </c>
      <c r="AA25" s="127" t="n">
        <v>0</v>
      </c>
      <c r="AB25" s="130" t="n">
        <v>0</v>
      </c>
      <c r="AC25" s="132" t="n">
        <v>1</v>
      </c>
      <c r="AD25" s="136" t="n">
        <v>0</v>
      </c>
      <c r="AE25" s="138" t="n">
        <v>0</v>
      </c>
      <c r="AF25" s="141" t="n">
        <v>2</v>
      </c>
      <c r="AG25" s="145" t="n">
        <v>0</v>
      </c>
      <c r="AH25" s="147" t="n">
        <v>1</v>
      </c>
      <c r="AI25" s="151" t="n">
        <v>0</v>
      </c>
      <c r="AJ25" s="154" t="n">
        <v>0</v>
      </c>
      <c r="AK25" s="154" t="n">
        <v>0</v>
      </c>
      <c r="AL25" s="156" t="n">
        <v>0</v>
      </c>
      <c r="AM25" s="159" t="n">
        <v>1</v>
      </c>
      <c r="AN25" s="163" t="n">
        <v>0</v>
      </c>
      <c r="AO25" s="163" t="n">
        <v>0</v>
      </c>
      <c r="AP25" s="166" t="n">
        <v>-1</v>
      </c>
      <c r="AQ25" s="169" t="n">
        <v>0</v>
      </c>
      <c r="AR25" s="172" t="n">
        <v>0</v>
      </c>
      <c r="AS25" s="175" t="n">
        <v>0</v>
      </c>
      <c r="AT25" s="178" t="n">
        <v>0</v>
      </c>
      <c r="AU25" s="178" t="n">
        <v>0</v>
      </c>
      <c r="AV25" s="181" t="n">
        <v>0</v>
      </c>
      <c r="AW25" s="183" t="n">
        <v>0</v>
      </c>
      <c r="AX25" s="184" t="n">
        <v>1</v>
      </c>
      <c r="AY25" s="187" t="n">
        <v>0</v>
      </c>
      <c r="AZ25" s="190" t="n">
        <v>1</v>
      </c>
      <c r="BA25" s="192" t="n">
        <v>0</v>
      </c>
      <c r="BB25" s="196" t="n">
        <v>0</v>
      </c>
      <c r="BC25" s="198" t="n">
        <v>1</v>
      </c>
      <c r="BD25" s="202" t="n">
        <v>0</v>
      </c>
      <c r="BE25" s="205" t="n">
        <v>0</v>
      </c>
      <c r="BF25" s="205" t="n">
        <v>0</v>
      </c>
      <c r="BG25" s="207" t="n">
        <v>1</v>
      </c>
      <c r="BH25" s="210" t="n">
        <v>1</v>
      </c>
      <c r="BI25" s="211" t="n">
        <v>0</v>
      </c>
      <c r="BJ25" s="211" t="n">
        <v>0</v>
      </c>
      <c r="BK25" s="211" t="n">
        <v>0</v>
      </c>
      <c r="BL25" s="210" t="n">
        <v>1</v>
      </c>
      <c r="BM25" s="210" t="n">
        <v>2</v>
      </c>
      <c r="BN25" s="215" t="n">
        <v>0</v>
      </c>
      <c r="BO25" s="214" t="n">
        <v>1</v>
      </c>
      <c r="BP25" s="215" t="n">
        <v>0</v>
      </c>
      <c r="BQ25" s="214" t="n">
        <v>1</v>
      </c>
    </row>
    <row r="26">
      <c r="A26" s="22">
        <f>"https://open.spotify.com/playlist/" &amp; C26</f>
        <v/>
      </c>
      <c r="B26" s="1" t="inlineStr">
        <is>
          <t>ELITE Villa Weekend 🌴 | Summer Vibes, Pool &amp; BBQ Energy</t>
        </is>
      </c>
      <c r="C26" s="1" t="inlineStr">
        <is>
          <t>3ged6cCLtzu1jXwAv9BcJp</t>
        </is>
      </c>
      <c r="D26" s="3" t="n">
        <v>11</v>
      </c>
      <c r="E26" s="21" t="n">
        <v>0</v>
      </c>
      <c r="F26" s="26" t="n">
        <v>1</v>
      </c>
      <c r="G26" s="25" t="n">
        <v>0</v>
      </c>
      <c r="H26" s="29" t="n">
        <v>0</v>
      </c>
      <c r="I26" s="32" t="n">
        <v>0</v>
      </c>
      <c r="J26" s="74" t="n">
        <v>0</v>
      </c>
      <c r="K26" s="76" t="n">
        <v>0</v>
      </c>
      <c r="L26" s="79" t="n">
        <v>1</v>
      </c>
      <c r="M26" s="83" t="n">
        <v>0</v>
      </c>
      <c r="N26" s="86" t="n">
        <v>0</v>
      </c>
      <c r="O26" s="90" t="n">
        <v>0</v>
      </c>
      <c r="P26" s="93" t="n">
        <v>0</v>
      </c>
      <c r="Q26" s="96" t="n">
        <v>0</v>
      </c>
      <c r="R26" s="98" t="n">
        <v>0</v>
      </c>
      <c r="S26" s="102" t="n">
        <v>0</v>
      </c>
      <c r="T26" s="105" t="n">
        <v>0</v>
      </c>
      <c r="U26" s="108" t="n">
        <v>0</v>
      </c>
      <c r="V26" s="111" t="n">
        <v>0</v>
      </c>
      <c r="W26" s="114" t="n">
        <v>0</v>
      </c>
      <c r="X26" s="117" t="n">
        <v>0</v>
      </c>
      <c r="Y26" s="120" t="n">
        <v>0</v>
      </c>
      <c r="Z26" s="123" t="n">
        <v>0</v>
      </c>
      <c r="AA26" s="127" t="n">
        <v>0</v>
      </c>
      <c r="AB26" s="130" t="n">
        <v>0</v>
      </c>
      <c r="AC26" s="133" t="n">
        <v>0</v>
      </c>
      <c r="AD26" s="136" t="n">
        <v>0</v>
      </c>
      <c r="AE26" s="138" t="n">
        <v>0</v>
      </c>
      <c r="AF26" s="142" t="n">
        <v>0</v>
      </c>
      <c r="AG26" s="144" t="n">
        <v>1</v>
      </c>
      <c r="AH26" s="148" t="n">
        <v>0</v>
      </c>
      <c r="AI26" s="151" t="n">
        <v>0</v>
      </c>
      <c r="AJ26" s="154" t="n">
        <v>0</v>
      </c>
      <c r="AK26" s="154" t="n">
        <v>0</v>
      </c>
      <c r="AL26" s="156" t="n">
        <v>0</v>
      </c>
      <c r="AM26" s="160" t="n">
        <v>0</v>
      </c>
      <c r="AN26" s="163" t="n">
        <v>0</v>
      </c>
      <c r="AO26" s="163" t="n">
        <v>0</v>
      </c>
      <c r="AP26" s="166" t="n">
        <v>0</v>
      </c>
      <c r="AQ26" s="169" t="n">
        <v>0</v>
      </c>
      <c r="AR26" s="172" t="n">
        <v>0</v>
      </c>
      <c r="AS26" s="175" t="n">
        <v>0</v>
      </c>
      <c r="AT26" s="178" t="n">
        <v>0</v>
      </c>
      <c r="AU26" s="178" t="n">
        <v>0</v>
      </c>
      <c r="AV26" s="181" t="n">
        <v>0</v>
      </c>
      <c r="AW26" s="183" t="n">
        <v>0</v>
      </c>
      <c r="AX26" s="184" t="n">
        <v>1</v>
      </c>
      <c r="AY26" s="187" t="n">
        <v>0</v>
      </c>
      <c r="AZ26" s="189" t="n">
        <v>0</v>
      </c>
      <c r="BA26" s="192" t="n">
        <v>0</v>
      </c>
      <c r="BB26" s="196" t="n">
        <v>0</v>
      </c>
      <c r="BC26" s="199" t="n">
        <v>0</v>
      </c>
      <c r="BD26" s="202" t="n">
        <v>0</v>
      </c>
      <c r="BE26" s="205" t="n">
        <v>0</v>
      </c>
      <c r="BF26" s="205" t="n">
        <v>0</v>
      </c>
      <c r="BG26" s="208" t="n">
        <v>0</v>
      </c>
      <c r="BH26" s="211" t="n">
        <v>0</v>
      </c>
      <c r="BI26" s="211" t="n">
        <v>0</v>
      </c>
      <c r="BJ26" s="211" t="n">
        <v>0</v>
      </c>
      <c r="BK26" s="211" t="n">
        <v>0</v>
      </c>
      <c r="BL26" s="211" t="n">
        <v>0</v>
      </c>
      <c r="BM26" s="211" t="n">
        <v>0</v>
      </c>
      <c r="BN26" s="215" t="n">
        <v>0</v>
      </c>
      <c r="BO26" s="215" t="n">
        <v>0</v>
      </c>
      <c r="BP26" s="215" t="n">
        <v>0</v>
      </c>
      <c r="BQ26" s="215" t="n">
        <v>0</v>
      </c>
    </row>
    <row r="27">
      <c r="A27" s="22">
        <f>"https://open.spotify.com/playlist/" &amp; C27</f>
        <v/>
      </c>
      <c r="B27" s="1" t="inlineStr">
        <is>
          <t>LAVISH Yacht Party 🛥️ | Boat Party, Tanning &amp; Champagne Vibes</t>
        </is>
      </c>
      <c r="C27" s="1" t="inlineStr">
        <is>
          <t>4Kdrhmt96yhMof1B0TBMjs</t>
        </is>
      </c>
      <c r="D27" s="3" t="n">
        <v>18</v>
      </c>
      <c r="E27" s="20" t="n">
        <v>2</v>
      </c>
      <c r="F27" s="26" t="n">
        <v>1</v>
      </c>
      <c r="G27" s="26" t="n">
        <v>1</v>
      </c>
      <c r="H27" s="29" t="n">
        <v>0</v>
      </c>
      <c r="I27" s="31" t="n">
        <v>1</v>
      </c>
      <c r="J27" s="74" t="n">
        <v>-1</v>
      </c>
      <c r="K27" s="76" t="n">
        <v>0</v>
      </c>
      <c r="L27" s="80" t="n">
        <v>0</v>
      </c>
      <c r="M27" s="83" t="n">
        <v>0</v>
      </c>
      <c r="N27" s="86" t="n">
        <v>0</v>
      </c>
      <c r="O27" s="90" t="n">
        <v>0</v>
      </c>
      <c r="P27" s="93" t="n">
        <v>0</v>
      </c>
      <c r="Q27" s="96" t="n">
        <v>0</v>
      </c>
      <c r="R27" s="99" t="n">
        <v>1</v>
      </c>
      <c r="S27" s="102" t="n">
        <v>0</v>
      </c>
      <c r="T27" s="105" t="n">
        <v>0</v>
      </c>
      <c r="U27" s="108" t="n">
        <v>0</v>
      </c>
      <c r="V27" s="111" t="n">
        <v>0</v>
      </c>
      <c r="W27" s="113" t="n">
        <v>1</v>
      </c>
      <c r="X27" s="116" t="n">
        <v>1</v>
      </c>
      <c r="Y27" s="119" t="n">
        <v>1</v>
      </c>
      <c r="Z27" s="121" t="n">
        <v>1</v>
      </c>
      <c r="AA27" s="127" t="n">
        <v>0</v>
      </c>
      <c r="AB27" s="130" t="n">
        <v>0</v>
      </c>
      <c r="AC27" s="132" t="n">
        <v>1</v>
      </c>
      <c r="AD27" s="136" t="n">
        <v>0</v>
      </c>
      <c r="AE27" s="138" t="n">
        <v>0</v>
      </c>
      <c r="AF27" s="142" t="n">
        <v>0</v>
      </c>
      <c r="AG27" s="145" t="n">
        <v>0</v>
      </c>
      <c r="AH27" s="148" t="n">
        <v>0</v>
      </c>
      <c r="AI27" s="151" t="n">
        <v>0</v>
      </c>
      <c r="AJ27" s="154" t="n">
        <v>0</v>
      </c>
      <c r="AK27" s="152" t="n">
        <v>1</v>
      </c>
      <c r="AL27" s="156" t="n">
        <v>0</v>
      </c>
      <c r="AM27" s="160" t="n">
        <v>0</v>
      </c>
      <c r="AN27" s="163" t="n">
        <v>0</v>
      </c>
      <c r="AO27" s="163" t="n">
        <v>0</v>
      </c>
      <c r="AP27" s="166" t="n">
        <v>0</v>
      </c>
      <c r="AQ27" s="169" t="n">
        <v>0</v>
      </c>
      <c r="AR27" s="172" t="n">
        <v>0</v>
      </c>
      <c r="AS27" s="175" t="n">
        <v>0</v>
      </c>
      <c r="AT27" s="178" t="n">
        <v>0</v>
      </c>
      <c r="AU27" s="178" t="n">
        <v>0</v>
      </c>
      <c r="AV27" s="181" t="n">
        <v>0</v>
      </c>
      <c r="AW27" s="183" t="n">
        <v>0</v>
      </c>
      <c r="AX27" s="183" t="n">
        <v>0</v>
      </c>
      <c r="AY27" s="187" t="n">
        <v>0</v>
      </c>
      <c r="AZ27" s="189" t="n">
        <v>0</v>
      </c>
      <c r="BA27" s="192" t="n">
        <v>0</v>
      </c>
      <c r="BB27" s="196" t="n">
        <v>0</v>
      </c>
      <c r="BC27" s="199" t="n">
        <v>0</v>
      </c>
      <c r="BD27" s="202" t="n">
        <v>0</v>
      </c>
      <c r="BE27" s="205" t="n">
        <v>0</v>
      </c>
      <c r="BF27" s="205" t="n">
        <v>0</v>
      </c>
      <c r="BG27" s="208" t="n">
        <v>0</v>
      </c>
      <c r="BH27" s="211" t="n">
        <v>0</v>
      </c>
      <c r="BI27" s="211" t="n">
        <v>0</v>
      </c>
      <c r="BJ27" s="211" t="n">
        <v>0</v>
      </c>
      <c r="BK27" s="211" t="n">
        <v>0</v>
      </c>
      <c r="BL27" s="211" t="n">
        <v>0</v>
      </c>
      <c r="BM27" s="211" t="n">
        <v>0</v>
      </c>
      <c r="BN27" s="215" t="n">
        <v>0</v>
      </c>
      <c r="BO27" s="215" t="n">
        <v>0</v>
      </c>
      <c r="BP27" s="215" t="n">
        <v>0</v>
      </c>
      <c r="BQ27" s="215" t="n">
        <v>0</v>
      </c>
    </row>
    <row r="28">
      <c r="A28" s="22">
        <f>"https://open.spotify.com/playlist/" &amp; C28</f>
        <v/>
      </c>
      <c r="B28" s="1" t="inlineStr">
        <is>
          <t>SAND In My TOES 👙 | Bikini Season Beach Vibes ☀️</t>
        </is>
      </c>
      <c r="C28" s="1" t="inlineStr">
        <is>
          <t>5KwfnwodjPBqv1BWKOPBtB</t>
        </is>
      </c>
      <c r="D28" s="3" t="n">
        <v>11</v>
      </c>
      <c r="E28" s="21" t="n">
        <v>0</v>
      </c>
      <c r="F28" s="26" t="n">
        <v>1</v>
      </c>
      <c r="G28" s="25" t="n">
        <v>0</v>
      </c>
      <c r="H28" s="29" t="n">
        <v>0</v>
      </c>
      <c r="I28" s="32" t="n">
        <v>0</v>
      </c>
      <c r="J28" s="74" t="n">
        <v>0</v>
      </c>
      <c r="K28" s="77" t="n">
        <v>1</v>
      </c>
      <c r="L28" s="80" t="n">
        <v>0</v>
      </c>
      <c r="M28" s="83" t="n">
        <v>0</v>
      </c>
      <c r="N28" s="86" t="n">
        <v>0</v>
      </c>
      <c r="O28" s="90" t="n">
        <v>0</v>
      </c>
      <c r="P28" s="93" t="n">
        <v>0</v>
      </c>
      <c r="Q28" s="96" t="n">
        <v>0</v>
      </c>
      <c r="R28" s="98" t="n">
        <v>0</v>
      </c>
      <c r="S28" s="102" t="n">
        <v>0</v>
      </c>
      <c r="T28" s="105" t="n">
        <v>0</v>
      </c>
      <c r="U28" s="108" t="n">
        <v>0</v>
      </c>
      <c r="V28" s="110" t="n">
        <v>1</v>
      </c>
      <c r="W28" s="114" t="n">
        <v>0</v>
      </c>
      <c r="X28" s="117" t="n">
        <v>0</v>
      </c>
      <c r="Y28" s="120" t="n">
        <v>0</v>
      </c>
      <c r="Z28" s="123" t="n">
        <v>0</v>
      </c>
      <c r="AA28" s="127" t="n">
        <v>0</v>
      </c>
      <c r="AB28" s="130" t="n">
        <v>0</v>
      </c>
      <c r="AC28" s="133" t="n">
        <v>0</v>
      </c>
      <c r="AD28" s="136" t="n">
        <v>0</v>
      </c>
      <c r="AE28" s="138" t="n">
        <v>0</v>
      </c>
      <c r="AF28" s="142" t="n">
        <v>0</v>
      </c>
      <c r="AG28" s="145" t="n">
        <v>0</v>
      </c>
      <c r="AH28" s="148" t="n">
        <v>0</v>
      </c>
      <c r="AI28" s="151" t="n">
        <v>0</v>
      </c>
      <c r="AJ28" s="154" t="n">
        <v>0</v>
      </c>
      <c r="AK28" s="154" t="n">
        <v>0</v>
      </c>
      <c r="AL28" s="156" t="n">
        <v>0</v>
      </c>
      <c r="AM28" s="160" t="n">
        <v>0</v>
      </c>
      <c r="AN28" s="163" t="n">
        <v>0</v>
      </c>
      <c r="AO28" s="163" t="n">
        <v>0</v>
      </c>
      <c r="AP28" s="166" t="n">
        <v>0</v>
      </c>
      <c r="AQ28" s="169" t="n">
        <v>0</v>
      </c>
      <c r="AR28" s="172" t="n">
        <v>0</v>
      </c>
      <c r="AS28" s="175" t="n">
        <v>0</v>
      </c>
      <c r="AT28" s="177" t="n">
        <v>1</v>
      </c>
      <c r="AU28" s="178" t="n">
        <v>0</v>
      </c>
      <c r="AV28" s="181" t="n">
        <v>0</v>
      </c>
      <c r="AW28" s="183" t="n">
        <v>0</v>
      </c>
      <c r="AX28" s="183" t="n">
        <v>0</v>
      </c>
      <c r="AY28" s="187" t="n">
        <v>0</v>
      </c>
      <c r="AZ28" s="189" t="n">
        <v>0</v>
      </c>
      <c r="BA28" s="192" t="n">
        <v>0</v>
      </c>
      <c r="BB28" s="196" t="n">
        <v>0</v>
      </c>
      <c r="BC28" s="199" t="n">
        <v>0</v>
      </c>
      <c r="BD28" s="202" t="n">
        <v>0</v>
      </c>
      <c r="BE28" s="205" t="n">
        <v>0</v>
      </c>
      <c r="BF28" s="205" t="n">
        <v>0</v>
      </c>
      <c r="BG28" s="208" t="n">
        <v>0</v>
      </c>
      <c r="BH28" s="211" t="n">
        <v>0</v>
      </c>
      <c r="BI28" s="211" t="n">
        <v>0</v>
      </c>
      <c r="BJ28" s="211" t="n">
        <v>0</v>
      </c>
      <c r="BK28" s="211" t="n">
        <v>0</v>
      </c>
      <c r="BL28" s="211" t="n">
        <v>0</v>
      </c>
      <c r="BM28" s="211" t="n">
        <v>0</v>
      </c>
      <c r="BN28" s="215" t="n">
        <v>0</v>
      </c>
      <c r="BO28" s="215" t="n">
        <v>0</v>
      </c>
      <c r="BP28" s="215" t="n">
        <v>0</v>
      </c>
      <c r="BQ28" s="215" t="n">
        <v>0</v>
      </c>
    </row>
    <row r="29">
      <c r="A29" s="22">
        <f>"https://open.spotify.com/playlist/" &amp; C29</f>
        <v/>
      </c>
      <c r="B29" s="1" t="inlineStr">
        <is>
          <t>AFRICAN ROOTS 🌍🔥 | Jamaica, South Africa &amp; Nigeria | Shell Down | Badman Riddim | Yard Vibes 🇯🇲🇿🇦🇳🇬</t>
        </is>
      </c>
      <c r="C29" s="1" t="inlineStr">
        <is>
          <t>2YobhqIIbLoyNbQjTH9NBL</t>
        </is>
      </c>
      <c r="D29" s="3" t="n">
        <v>66</v>
      </c>
      <c r="E29" s="21" t="n">
        <v>0</v>
      </c>
      <c r="F29" s="26" t="n">
        <v>1</v>
      </c>
      <c r="G29" s="26" t="n">
        <v>1</v>
      </c>
      <c r="H29" s="29" t="n">
        <v>0</v>
      </c>
      <c r="I29" s="31" t="n">
        <v>3</v>
      </c>
      <c r="J29" s="74" t="n">
        <v>0</v>
      </c>
      <c r="K29" s="76" t="n">
        <v>0</v>
      </c>
      <c r="L29" s="80" t="n">
        <v>0</v>
      </c>
      <c r="M29" s="83" t="n">
        <v>0</v>
      </c>
      <c r="N29" s="86" t="n">
        <v>0</v>
      </c>
      <c r="O29" s="90" t="n">
        <v>0</v>
      </c>
      <c r="P29" s="92" t="n">
        <v>2</v>
      </c>
      <c r="Q29" s="95" t="n">
        <v>1</v>
      </c>
      <c r="R29" s="99" t="n">
        <v>3</v>
      </c>
      <c r="S29" s="102" t="n">
        <v>0</v>
      </c>
      <c r="T29" s="104" t="n">
        <v>2</v>
      </c>
      <c r="U29" s="107" t="n">
        <v>1</v>
      </c>
      <c r="V29" s="110" t="n">
        <v>3</v>
      </c>
      <c r="W29" s="113" t="n">
        <v>3</v>
      </c>
      <c r="X29" s="117" t="n">
        <v>0</v>
      </c>
      <c r="Y29" s="119" t="n">
        <v>3</v>
      </c>
      <c r="Z29" s="121" t="n">
        <v>2</v>
      </c>
      <c r="AA29" s="126" t="n">
        <v>2</v>
      </c>
      <c r="AB29" s="130" t="n">
        <v>0</v>
      </c>
      <c r="AC29" s="133" t="n">
        <v>0</v>
      </c>
      <c r="AD29" s="135" t="n">
        <v>2</v>
      </c>
      <c r="AE29" s="138" t="n">
        <v>-1</v>
      </c>
      <c r="AF29" s="142" t="n">
        <v>0</v>
      </c>
      <c r="AG29" s="144" t="n">
        <v>1</v>
      </c>
      <c r="AH29" s="147" t="n">
        <v>1</v>
      </c>
      <c r="AI29" s="150" t="n">
        <v>2</v>
      </c>
      <c r="AJ29" s="152" t="n">
        <v>1</v>
      </c>
      <c r="AK29" s="154" t="n">
        <v>0</v>
      </c>
      <c r="AL29" s="157" t="n">
        <v>1</v>
      </c>
      <c r="AM29" s="159" t="n">
        <v>2</v>
      </c>
      <c r="AN29" s="162" t="n">
        <v>2</v>
      </c>
      <c r="AO29" s="162" t="n">
        <v>1</v>
      </c>
      <c r="AP29" s="166" t="n">
        <v>0</v>
      </c>
      <c r="AQ29" s="167" t="n">
        <v>5</v>
      </c>
      <c r="AR29" s="172" t="n">
        <v>0</v>
      </c>
      <c r="AS29" s="175" t="n">
        <v>0</v>
      </c>
      <c r="AT29" s="178" t="n">
        <v>0</v>
      </c>
      <c r="AU29" s="177" t="n">
        <v>2</v>
      </c>
      <c r="AV29" s="180" t="n">
        <v>1</v>
      </c>
      <c r="AW29" s="184" t="n">
        <v>1</v>
      </c>
      <c r="AX29" s="183" t="n">
        <v>0</v>
      </c>
      <c r="AY29" s="187" t="n">
        <v>0</v>
      </c>
      <c r="AZ29" s="189" t="n">
        <v>0</v>
      </c>
      <c r="BA29" s="192" t="n">
        <v>0</v>
      </c>
      <c r="BB29" s="196" t="n">
        <v>0</v>
      </c>
      <c r="BC29" s="198" t="n">
        <v>1</v>
      </c>
      <c r="BD29" s="202" t="n">
        <v>0</v>
      </c>
      <c r="BE29" s="204" t="n">
        <v>2</v>
      </c>
      <c r="BF29" s="204" t="n">
        <v>2</v>
      </c>
      <c r="BG29" s="208" t="n">
        <v>0</v>
      </c>
      <c r="BH29" s="211" t="n">
        <v>0</v>
      </c>
      <c r="BI29" s="210" t="n">
        <v>1</v>
      </c>
      <c r="BJ29" s="210" t="n">
        <v>1</v>
      </c>
      <c r="BK29" s="210" t="n">
        <v>1</v>
      </c>
      <c r="BL29" s="209" t="n">
        <v>4</v>
      </c>
      <c r="BM29" s="211" t="n">
        <v>0</v>
      </c>
      <c r="BN29" s="215" t="n">
        <v>0</v>
      </c>
      <c r="BO29" s="215" t="n">
        <v>0</v>
      </c>
      <c r="BP29" s="215" t="n">
        <v>0</v>
      </c>
      <c r="BQ29" s="215" t="n">
        <v>0</v>
      </c>
    </row>
    <row r="30">
      <c r="A30" s="22">
        <f>"https://open.spotify.com/playlist/" &amp; C30</f>
        <v/>
      </c>
      <c r="B30" s="1" t="inlineStr">
        <is>
          <t>BREEZY Summer Hiking 🌿 | Nature Walk Escape Vibes</t>
        </is>
      </c>
      <c r="C30" s="1" t="inlineStr">
        <is>
          <t>5TVigC8HCUBTJYUG2k6tjp</t>
        </is>
      </c>
      <c r="D30" s="3" t="n">
        <v>38</v>
      </c>
      <c r="E30" s="20" t="n">
        <v>1</v>
      </c>
      <c r="F30" s="25" t="n">
        <v>0</v>
      </c>
      <c r="G30" s="25" t="n">
        <v>0</v>
      </c>
      <c r="H30" s="28" t="n">
        <v>1</v>
      </c>
      <c r="I30" s="32" t="n">
        <v>0</v>
      </c>
      <c r="J30" s="73" t="n">
        <v>1</v>
      </c>
      <c r="K30" s="77" t="n">
        <v>1</v>
      </c>
      <c r="L30" s="80" t="n">
        <v>0</v>
      </c>
      <c r="M30" s="82" t="n">
        <v>1</v>
      </c>
      <c r="N30" s="86" t="n">
        <v>0</v>
      </c>
      <c r="O30" s="90" t="n">
        <v>0</v>
      </c>
      <c r="P30" s="92" t="n">
        <v>1</v>
      </c>
      <c r="Q30" s="95" t="n">
        <v>2</v>
      </c>
      <c r="R30" s="99" t="n">
        <v>1</v>
      </c>
      <c r="S30" s="102" t="n">
        <v>0</v>
      </c>
      <c r="T30" s="103" t="n">
        <v>4</v>
      </c>
      <c r="U30" s="107" t="n">
        <v>1</v>
      </c>
      <c r="V30" s="111" t="n">
        <v>0</v>
      </c>
      <c r="W30" s="114" t="n">
        <v>0</v>
      </c>
      <c r="X30" s="116" t="n">
        <v>1</v>
      </c>
      <c r="Y30" s="120" t="n">
        <v>0</v>
      </c>
      <c r="Z30" s="121" t="n">
        <v>1</v>
      </c>
      <c r="AA30" s="126" t="n">
        <v>1</v>
      </c>
      <c r="AB30" s="130" t="n">
        <v>0</v>
      </c>
      <c r="AC30" s="132" t="n">
        <v>1</v>
      </c>
      <c r="AD30" s="136" t="n">
        <v>0</v>
      </c>
      <c r="AE30" s="139" t="n">
        <v>1</v>
      </c>
      <c r="AF30" s="142" t="n">
        <v>0</v>
      </c>
      <c r="AG30" s="144" t="n">
        <v>2</v>
      </c>
      <c r="AH30" s="148" t="n">
        <v>0</v>
      </c>
      <c r="AI30" s="150" t="n">
        <v>2</v>
      </c>
      <c r="AJ30" s="154" t="n">
        <v>0</v>
      </c>
      <c r="AK30" s="154" t="n">
        <v>0</v>
      </c>
      <c r="AL30" s="157" t="n">
        <v>1</v>
      </c>
      <c r="AM30" s="160" t="n">
        <v>0</v>
      </c>
      <c r="AN30" s="162" t="n">
        <v>1</v>
      </c>
      <c r="AO30" s="162" t="n">
        <v>1</v>
      </c>
      <c r="AP30" s="166" t="n">
        <v>0</v>
      </c>
      <c r="AQ30" s="168" t="n">
        <v>1</v>
      </c>
      <c r="AR30" s="172" t="n">
        <v>0</v>
      </c>
      <c r="AS30" s="175" t="n">
        <v>0</v>
      </c>
      <c r="AT30" s="177" t="n">
        <v>3</v>
      </c>
      <c r="AU30" s="178" t="n">
        <v>0</v>
      </c>
      <c r="AV30" s="181" t="n">
        <v>0</v>
      </c>
      <c r="AW30" s="183" t="n">
        <v>0</v>
      </c>
      <c r="AX30" s="183" t="n">
        <v>0</v>
      </c>
      <c r="AY30" s="187" t="n">
        <v>0</v>
      </c>
      <c r="AZ30" s="189" t="n">
        <v>0</v>
      </c>
      <c r="BA30" s="191" t="n">
        <v>1</v>
      </c>
      <c r="BB30" s="196" t="n">
        <v>0</v>
      </c>
      <c r="BC30" s="199" t="n">
        <v>0</v>
      </c>
      <c r="BD30" s="201" t="n">
        <v>1</v>
      </c>
      <c r="BE30" s="205" t="n">
        <v>0</v>
      </c>
      <c r="BF30" s="205" t="n">
        <v>0</v>
      </c>
      <c r="BG30" s="208" t="n">
        <v>0</v>
      </c>
      <c r="BH30" s="211" t="n">
        <v>0</v>
      </c>
      <c r="BI30" s="211" t="n">
        <v>0</v>
      </c>
      <c r="BJ30" s="211" t="n">
        <v>0</v>
      </c>
      <c r="BK30" s="211" t="n">
        <v>0</v>
      </c>
      <c r="BL30" s="211" t="n">
        <v>0</v>
      </c>
      <c r="BM30" s="211" t="n">
        <v>0</v>
      </c>
      <c r="BN30" s="215" t="n">
        <v>0</v>
      </c>
      <c r="BO30" s="215" t="n">
        <v>0</v>
      </c>
      <c r="BP30" s="215" t="n">
        <v>0</v>
      </c>
      <c r="BQ30" s="215" t="n">
        <v>0</v>
      </c>
    </row>
    <row r="31">
      <c r="A31" s="22">
        <f>"https://open.spotify.com/playlist/" &amp; C31</f>
        <v/>
      </c>
      <c r="B31" s="1" t="inlineStr">
        <is>
          <t>VIBRANT Island Vibes 🌊 | Island Hopping &amp; Boat Life Energy</t>
        </is>
      </c>
      <c r="C31" s="1" t="inlineStr">
        <is>
          <t>3r8UDYNDFcjKgKYuqzmGw3</t>
        </is>
      </c>
      <c r="D31" s="3" t="n">
        <v>71</v>
      </c>
      <c r="E31" s="20" t="n">
        <v>1</v>
      </c>
      <c r="F31" s="25" t="n">
        <v>0</v>
      </c>
      <c r="G31" s="25" t="n">
        <v>0</v>
      </c>
      <c r="H31" s="28" t="n">
        <v>1</v>
      </c>
      <c r="I31" s="32" t="n">
        <v>-1</v>
      </c>
      <c r="J31" s="73" t="n">
        <v>2</v>
      </c>
      <c r="K31" s="77" t="n">
        <v>2</v>
      </c>
      <c r="L31" s="79" t="n">
        <v>2</v>
      </c>
      <c r="M31" s="81" t="n">
        <v>4</v>
      </c>
      <c r="N31" s="85" t="n">
        <v>2</v>
      </c>
      <c r="O31" s="89" t="n">
        <v>1</v>
      </c>
      <c r="P31" s="91" t="n">
        <v>4</v>
      </c>
      <c r="Q31" s="95" t="n">
        <v>2</v>
      </c>
      <c r="R31" s="99" t="n">
        <v>3</v>
      </c>
      <c r="S31" s="101" t="n">
        <v>1</v>
      </c>
      <c r="T31" s="104" t="n">
        <v>2</v>
      </c>
      <c r="U31" s="108" t="n">
        <v>0</v>
      </c>
      <c r="V31" s="111" t="n">
        <v>0</v>
      </c>
      <c r="W31" s="113" t="n">
        <v>3</v>
      </c>
      <c r="X31" s="117" t="n">
        <v>0</v>
      </c>
      <c r="Y31" s="120" t="n">
        <v>0</v>
      </c>
      <c r="Z31" s="121" t="n">
        <v>2</v>
      </c>
      <c r="AA31" s="126" t="n">
        <v>1</v>
      </c>
      <c r="AB31" s="129" t="n">
        <v>1</v>
      </c>
      <c r="AC31" s="133" t="n">
        <v>-1</v>
      </c>
      <c r="AD31" s="135" t="n">
        <v>1</v>
      </c>
      <c r="AE31" s="139" t="n">
        <v>1</v>
      </c>
      <c r="AF31" s="141" t="n">
        <v>2</v>
      </c>
      <c r="AG31" s="144" t="n">
        <v>2</v>
      </c>
      <c r="AH31" s="148" t="n">
        <v>0</v>
      </c>
      <c r="AI31" s="150" t="n">
        <v>3</v>
      </c>
      <c r="AJ31" s="152" t="n">
        <v>1</v>
      </c>
      <c r="AK31" s="154" t="n">
        <v>0</v>
      </c>
      <c r="AL31" s="157" t="n">
        <v>2</v>
      </c>
      <c r="AM31" s="159" t="n">
        <v>2</v>
      </c>
      <c r="AN31" s="162" t="n">
        <v>1</v>
      </c>
      <c r="AO31" s="162" t="n">
        <v>1</v>
      </c>
      <c r="AP31" s="165" t="n">
        <v>2</v>
      </c>
      <c r="AQ31" s="169" t="n">
        <v>0</v>
      </c>
      <c r="AR31" s="171" t="n">
        <v>1</v>
      </c>
      <c r="AS31" s="174" t="n">
        <v>1</v>
      </c>
      <c r="AT31" s="177" t="n">
        <v>3</v>
      </c>
      <c r="AU31" s="177" t="n">
        <v>1</v>
      </c>
      <c r="AV31" s="181" t="n">
        <v>0</v>
      </c>
      <c r="AW31" s="183" t="n">
        <v>0</v>
      </c>
      <c r="AX31" s="183" t="n">
        <v>0</v>
      </c>
      <c r="AY31" s="187" t="n">
        <v>0</v>
      </c>
      <c r="AZ31" s="190" t="n">
        <v>2</v>
      </c>
      <c r="BA31" s="192" t="n">
        <v>0</v>
      </c>
      <c r="BB31" s="194" t="n">
        <v>2</v>
      </c>
      <c r="BC31" s="198" t="n">
        <v>1</v>
      </c>
      <c r="BD31" s="201" t="n">
        <v>1</v>
      </c>
      <c r="BE31" s="205" t="n">
        <v>0</v>
      </c>
      <c r="BF31" s="204" t="n">
        <v>2</v>
      </c>
      <c r="BG31" s="208" t="n">
        <v>0</v>
      </c>
      <c r="BH31" s="211" t="n">
        <v>0</v>
      </c>
      <c r="BI31" s="210" t="n">
        <v>1</v>
      </c>
      <c r="BJ31" s="211" t="n">
        <v>0</v>
      </c>
      <c r="BK31" s="211" t="n">
        <v>0</v>
      </c>
      <c r="BL31" s="211" t="n">
        <v>0</v>
      </c>
      <c r="BM31" s="211" t="n">
        <v>0</v>
      </c>
      <c r="BN31" s="215" t="n">
        <v>0</v>
      </c>
      <c r="BO31" s="215" t="n">
        <v>0</v>
      </c>
      <c r="BP31" s="215" t="n">
        <v>0</v>
      </c>
      <c r="BQ31" s="215" t="n">
        <v>0</v>
      </c>
    </row>
    <row r="32">
      <c r="A32" s="22">
        <f>"https://open.spotify.com/playlist/" &amp; C32</f>
        <v/>
      </c>
      <c r="B32" s="1" t="inlineStr">
        <is>
          <t>CRAZY Beach Party 🏖️ | #BeachVibes &amp; Max Rizz Energy ☀️</t>
        </is>
      </c>
      <c r="C32" s="1" t="inlineStr">
        <is>
          <t>2F0cWaLrVvT4Xlh3N7tpdC</t>
        </is>
      </c>
      <c r="D32" s="3" t="n">
        <v>23</v>
      </c>
      <c r="E32" s="21" t="n">
        <v>0</v>
      </c>
      <c r="F32" s="25" t="n">
        <v>0</v>
      </c>
      <c r="G32" s="25" t="n">
        <v>0</v>
      </c>
      <c r="H32" s="28" t="n">
        <v>1</v>
      </c>
      <c r="I32" s="31" t="n">
        <v>2</v>
      </c>
      <c r="J32" s="74" t="n">
        <v>0</v>
      </c>
      <c r="K32" s="77" t="n">
        <v>1</v>
      </c>
      <c r="L32" s="80" t="n">
        <v>0</v>
      </c>
      <c r="M32" s="83" t="n">
        <v>0</v>
      </c>
      <c r="N32" s="85" t="n">
        <v>1</v>
      </c>
      <c r="O32" s="89" t="n">
        <v>1</v>
      </c>
      <c r="P32" s="93" t="n">
        <v>0</v>
      </c>
      <c r="Q32" s="95" t="n">
        <v>3</v>
      </c>
      <c r="R32" s="98" t="n">
        <v>0</v>
      </c>
      <c r="S32" s="102" t="n">
        <v>0</v>
      </c>
      <c r="T32" s="104" t="n">
        <v>2</v>
      </c>
      <c r="U32" s="108" t="n">
        <v>0</v>
      </c>
      <c r="V32" s="111" t="n">
        <v>0</v>
      </c>
      <c r="W32" s="114" t="n">
        <v>0</v>
      </c>
      <c r="X32" s="117" t="n">
        <v>0</v>
      </c>
      <c r="Y32" s="120" t="n">
        <v>0</v>
      </c>
      <c r="Z32" s="121" t="n">
        <v>2</v>
      </c>
      <c r="AA32" s="126" t="n">
        <v>1</v>
      </c>
      <c r="AB32" s="130" t="n">
        <v>0</v>
      </c>
      <c r="AC32" s="133" t="n">
        <v>0</v>
      </c>
      <c r="AD32" s="136" t="n">
        <v>0</v>
      </c>
      <c r="AE32" s="138" t="n">
        <v>0</v>
      </c>
      <c r="AF32" s="142" t="n">
        <v>0</v>
      </c>
      <c r="AG32" s="145" t="n">
        <v>0</v>
      </c>
      <c r="AH32" s="147" t="n">
        <v>1</v>
      </c>
      <c r="AI32" s="151" t="n">
        <v>0</v>
      </c>
      <c r="AJ32" s="154" t="n">
        <v>0</v>
      </c>
      <c r="AK32" s="152" t="n">
        <v>1</v>
      </c>
      <c r="AL32" s="156" t="n">
        <v>0</v>
      </c>
      <c r="AM32" s="160" t="n">
        <v>0</v>
      </c>
      <c r="AN32" s="163" t="n">
        <v>0</v>
      </c>
      <c r="AO32" s="163" t="n">
        <v>0</v>
      </c>
      <c r="AP32" s="166" t="n">
        <v>0</v>
      </c>
      <c r="AQ32" s="169" t="n">
        <v>0</v>
      </c>
      <c r="AR32" s="172" t="n">
        <v>0</v>
      </c>
      <c r="AS32" s="175" t="n">
        <v>0</v>
      </c>
      <c r="AT32" s="178" t="n">
        <v>0</v>
      </c>
      <c r="AU32" s="178" t="n">
        <v>0</v>
      </c>
      <c r="AV32" s="181" t="n">
        <v>0</v>
      </c>
      <c r="AW32" s="183" t="n">
        <v>0</v>
      </c>
      <c r="AX32" s="183" t="n">
        <v>0</v>
      </c>
      <c r="AY32" s="187" t="n">
        <v>0</v>
      </c>
      <c r="AZ32" s="189" t="n">
        <v>0</v>
      </c>
      <c r="BA32" s="192" t="n">
        <v>0</v>
      </c>
      <c r="BB32" s="196" t="n">
        <v>0</v>
      </c>
      <c r="BC32" s="199" t="n">
        <v>0</v>
      </c>
      <c r="BD32" s="202" t="n">
        <v>0</v>
      </c>
      <c r="BE32" s="205" t="n">
        <v>0</v>
      </c>
      <c r="BF32" s="205" t="n">
        <v>0</v>
      </c>
      <c r="BG32" s="207" t="n">
        <v>1</v>
      </c>
      <c r="BH32" s="211" t="n">
        <v>0</v>
      </c>
      <c r="BI32" s="211" t="n">
        <v>0</v>
      </c>
      <c r="BJ32" s="211" t="n">
        <v>0</v>
      </c>
      <c r="BK32" s="211" t="n">
        <v>0</v>
      </c>
      <c r="BL32" s="211" t="n">
        <v>0</v>
      </c>
      <c r="BM32" s="211" t="n">
        <v>0</v>
      </c>
      <c r="BN32" s="215" t="n">
        <v>0</v>
      </c>
      <c r="BO32" s="215" t="n">
        <v>0</v>
      </c>
      <c r="BP32" s="215" t="n">
        <v>0</v>
      </c>
      <c r="BQ32" s="215" t="n">
        <v>0</v>
      </c>
    </row>
    <row r="33">
      <c r="A33" s="22">
        <f>"https://open.spotify.com/playlist/" &amp; C33</f>
        <v/>
      </c>
      <c r="B33" s="1" t="inlineStr">
        <is>
          <t>Home Workout 2026 | Full Body Training &amp; High-Energy Fitness 🔥🏠</t>
        </is>
      </c>
      <c r="C33" s="1" t="inlineStr">
        <is>
          <t>0N70tbqKJPvGIGcVOlw5BP</t>
        </is>
      </c>
      <c r="D33" s="3" t="n">
        <v>86</v>
      </c>
      <c r="E33" s="21" t="n">
        <v>0</v>
      </c>
      <c r="F33" s="25" t="n">
        <v>0</v>
      </c>
      <c r="G33" s="25" t="n">
        <v>0</v>
      </c>
      <c r="H33" s="29" t="n">
        <v>0</v>
      </c>
      <c r="I33" s="32" t="n">
        <v>0</v>
      </c>
      <c r="J33" s="73" t="n">
        <v>3</v>
      </c>
      <c r="K33" s="77" t="n">
        <v>1</v>
      </c>
      <c r="L33" s="79" t="n">
        <v>1</v>
      </c>
      <c r="M33" s="82" t="n">
        <v>1</v>
      </c>
      <c r="N33" s="86" t="n">
        <v>0</v>
      </c>
      <c r="O33" s="89" t="n">
        <v>2</v>
      </c>
      <c r="P33" s="93" t="n">
        <v>0</v>
      </c>
      <c r="Q33" s="96" t="n">
        <v>0</v>
      </c>
      <c r="R33" s="99" t="n">
        <v>3</v>
      </c>
      <c r="S33" s="102" t="n">
        <v>0</v>
      </c>
      <c r="T33" s="105" t="n">
        <v>0</v>
      </c>
      <c r="U33" s="107" t="n">
        <v>3</v>
      </c>
      <c r="V33" s="110" t="n">
        <v>3</v>
      </c>
      <c r="W33" s="114" t="n">
        <v>0</v>
      </c>
      <c r="X33" s="116" t="n">
        <v>2</v>
      </c>
      <c r="Y33" s="119" t="n">
        <v>1</v>
      </c>
      <c r="Z33" s="121" t="n">
        <v>1</v>
      </c>
      <c r="AA33" s="127" t="n">
        <v>0</v>
      </c>
      <c r="AB33" s="129" t="n">
        <v>1</v>
      </c>
      <c r="AC33" s="132" t="n">
        <v>1</v>
      </c>
      <c r="AD33" s="135" t="n">
        <v>1</v>
      </c>
      <c r="AE33" s="139" t="n">
        <v>1</v>
      </c>
      <c r="AF33" s="141" t="n">
        <v>1</v>
      </c>
      <c r="AG33" s="144" t="n">
        <v>2</v>
      </c>
      <c r="AH33" s="148" t="n">
        <v>0</v>
      </c>
      <c r="AI33" s="150" t="n">
        <v>1</v>
      </c>
      <c r="AJ33" s="152" t="n">
        <v>2</v>
      </c>
      <c r="AK33" s="153" t="n">
        <v>4</v>
      </c>
      <c r="AL33" s="157" t="n">
        <v>1</v>
      </c>
      <c r="AM33" s="160" t="n">
        <v>-1</v>
      </c>
      <c r="AN33" s="162" t="n">
        <v>2</v>
      </c>
      <c r="AO33" s="162" t="n">
        <v>1</v>
      </c>
      <c r="AP33" s="166" t="n">
        <v>0</v>
      </c>
      <c r="AQ33" s="168" t="n">
        <v>1</v>
      </c>
      <c r="AR33" s="171" t="n">
        <v>2</v>
      </c>
      <c r="AS33" s="174" t="n">
        <v>2</v>
      </c>
      <c r="AT33" s="178" t="n">
        <v>0</v>
      </c>
      <c r="AU33" s="177" t="n">
        <v>1</v>
      </c>
      <c r="AV33" s="180" t="n">
        <v>2</v>
      </c>
      <c r="AW33" s="184" t="n">
        <v>2</v>
      </c>
      <c r="AX33" s="182" t="n">
        <v>4</v>
      </c>
      <c r="AY33" s="186" t="n">
        <v>1</v>
      </c>
      <c r="AZ33" s="190" t="n">
        <v>1</v>
      </c>
      <c r="BA33" s="191" t="n">
        <v>1</v>
      </c>
      <c r="BB33" s="196" t="n">
        <v>0</v>
      </c>
      <c r="BC33" s="198" t="n">
        <v>2</v>
      </c>
      <c r="BD33" s="201" t="n">
        <v>1</v>
      </c>
      <c r="BE33" s="204" t="n">
        <v>3</v>
      </c>
      <c r="BF33" s="204" t="n">
        <v>1</v>
      </c>
      <c r="BG33" s="207" t="n">
        <v>3</v>
      </c>
      <c r="BH33" s="210" t="n">
        <v>1</v>
      </c>
      <c r="BI33" s="210" t="n">
        <v>1</v>
      </c>
      <c r="BJ33" s="210" t="n">
        <v>2</v>
      </c>
      <c r="BK33" s="210" t="n">
        <v>3</v>
      </c>
      <c r="BL33" s="210" t="n">
        <v>1</v>
      </c>
      <c r="BM33" s="211" t="n">
        <v>0</v>
      </c>
      <c r="BN33" s="214" t="n">
        <v>1</v>
      </c>
      <c r="BO33" s="214" t="n">
        <v>3</v>
      </c>
      <c r="BP33" s="214" t="n">
        <v>2</v>
      </c>
      <c r="BQ33" s="214" t="n">
        <v>1</v>
      </c>
    </row>
    <row r="34">
      <c r="A34" s="22">
        <f>"https://open.spotify.com/playlist/" &amp; C34</f>
        <v/>
      </c>
      <c r="B34" s="1" t="inlineStr">
        <is>
          <t>Pull Ups &amp; Push Ups 2026 | Bodyweight Strength &amp; Burn 🔥💪</t>
        </is>
      </c>
      <c r="C34" s="1" t="inlineStr">
        <is>
          <t>5ljz10MQL5ptANtFEvLDue</t>
        </is>
      </c>
      <c r="D34" s="3" t="n">
        <v>26</v>
      </c>
      <c r="E34" s="21" t="n">
        <v>0</v>
      </c>
      <c r="F34" s="25" t="n">
        <v>0</v>
      </c>
      <c r="G34" s="25" t="n">
        <v>0</v>
      </c>
      <c r="H34" s="29" t="n">
        <v>0</v>
      </c>
      <c r="I34" s="31" t="n">
        <v>1</v>
      </c>
      <c r="J34" s="73" t="n">
        <v>1</v>
      </c>
      <c r="K34" s="76" t="n">
        <v>0</v>
      </c>
      <c r="L34" s="79" t="n">
        <v>1</v>
      </c>
      <c r="M34" s="83" t="n">
        <v>0</v>
      </c>
      <c r="N34" s="86" t="n">
        <v>0</v>
      </c>
      <c r="O34" s="90" t="n">
        <v>0</v>
      </c>
      <c r="P34" s="93" t="n">
        <v>0</v>
      </c>
      <c r="Q34" s="95" t="n">
        <v>1</v>
      </c>
      <c r="R34" s="98" t="n">
        <v>0</v>
      </c>
      <c r="S34" s="101" t="n">
        <v>1</v>
      </c>
      <c r="T34" s="105" t="n">
        <v>0</v>
      </c>
      <c r="U34" s="108" t="n">
        <v>0</v>
      </c>
      <c r="V34" s="111" t="n">
        <v>0</v>
      </c>
      <c r="W34" s="114" t="n">
        <v>0</v>
      </c>
      <c r="X34" s="117" t="n">
        <v>0</v>
      </c>
      <c r="Y34" s="120" t="n">
        <v>0</v>
      </c>
      <c r="Z34" s="123" t="n">
        <v>0</v>
      </c>
      <c r="AA34" s="127" t="n">
        <v>0</v>
      </c>
      <c r="AB34" s="130" t="n">
        <v>0</v>
      </c>
      <c r="AC34" s="132" t="n">
        <v>1</v>
      </c>
      <c r="AD34" s="135" t="n">
        <v>1</v>
      </c>
      <c r="AE34" s="139" t="n">
        <v>2</v>
      </c>
      <c r="AF34" s="141" t="n">
        <v>2</v>
      </c>
      <c r="AG34" s="145" t="n">
        <v>0</v>
      </c>
      <c r="AH34" s="147" t="n">
        <v>1</v>
      </c>
      <c r="AI34" s="151" t="n">
        <v>0</v>
      </c>
      <c r="AJ34" s="154" t="n">
        <v>0</v>
      </c>
      <c r="AK34" s="154" t="n">
        <v>0</v>
      </c>
      <c r="AL34" s="156" t="n">
        <v>0</v>
      </c>
      <c r="AM34" s="160" t="n">
        <v>0</v>
      </c>
      <c r="AN34" s="163" t="n">
        <v>0</v>
      </c>
      <c r="AO34" s="163" t="n">
        <v>0</v>
      </c>
      <c r="AP34" s="166" t="n">
        <v>0</v>
      </c>
      <c r="AQ34" s="169" t="n">
        <v>0</v>
      </c>
      <c r="AR34" s="172" t="n">
        <v>0</v>
      </c>
      <c r="AS34" s="175" t="n">
        <v>0</v>
      </c>
      <c r="AT34" s="178" t="n">
        <v>0</v>
      </c>
      <c r="AU34" s="178" t="n">
        <v>0</v>
      </c>
      <c r="AV34" s="181" t="n">
        <v>0</v>
      </c>
      <c r="AW34" s="183" t="n">
        <v>0</v>
      </c>
      <c r="AX34" s="183" t="n">
        <v>0</v>
      </c>
      <c r="AY34" s="187" t="n">
        <v>0</v>
      </c>
      <c r="AZ34" s="189" t="n">
        <v>0</v>
      </c>
      <c r="BA34" s="192" t="n">
        <v>0</v>
      </c>
      <c r="BB34" s="194" t="n">
        <v>1</v>
      </c>
      <c r="BC34" s="198" t="n">
        <v>1</v>
      </c>
      <c r="BD34" s="202" t="n">
        <v>0</v>
      </c>
      <c r="BE34" s="205" t="n">
        <v>0</v>
      </c>
      <c r="BF34" s="205" t="n">
        <v>0</v>
      </c>
      <c r="BG34" s="208" t="n">
        <v>0</v>
      </c>
      <c r="BH34" s="211" t="n">
        <v>0</v>
      </c>
      <c r="BI34" s="210" t="n">
        <v>1</v>
      </c>
      <c r="BJ34" s="211" t="n">
        <v>0</v>
      </c>
      <c r="BK34" s="211" t="n">
        <v>0</v>
      </c>
      <c r="BL34" s="211" t="n">
        <v>0</v>
      </c>
      <c r="BM34" s="210" t="n">
        <v>1</v>
      </c>
      <c r="BN34" s="215" t="n">
        <v>0</v>
      </c>
      <c r="BO34" s="214" t="n">
        <v>1</v>
      </c>
      <c r="BP34" s="214" t="n">
        <v>1</v>
      </c>
      <c r="BQ34" s="214" t="n">
        <v>2</v>
      </c>
    </row>
    <row r="35">
      <c r="A35" s="22">
        <f>"https://open.spotify.com/playlist/" &amp; C35</f>
        <v/>
      </c>
      <c r="B35" s="1" t="inlineStr">
        <is>
          <t>Military Workout 2026 | Strength, Stamina &amp; No Excuses Intensity 🎖️🔥</t>
        </is>
      </c>
      <c r="C35" s="1" t="inlineStr">
        <is>
          <t>3aRbQh2etD8umVcDjKtjzh</t>
        </is>
      </c>
      <c r="D35" s="3" t="n">
        <v>37</v>
      </c>
      <c r="E35" s="21" t="n">
        <v>0</v>
      </c>
      <c r="F35" s="26" t="n">
        <v>2</v>
      </c>
      <c r="G35" s="26" t="n">
        <v>1</v>
      </c>
      <c r="H35" s="29" t="n">
        <v>0</v>
      </c>
      <c r="I35" s="31" t="n">
        <v>2</v>
      </c>
      <c r="J35" s="73" t="n">
        <v>2</v>
      </c>
      <c r="K35" s="77" t="n">
        <v>2</v>
      </c>
      <c r="L35" s="80" t="n">
        <v>-1</v>
      </c>
      <c r="M35" s="82" t="n">
        <v>1</v>
      </c>
      <c r="N35" s="86" t="n">
        <v>0</v>
      </c>
      <c r="O35" s="89" t="n">
        <v>1</v>
      </c>
      <c r="P35" s="92" t="n">
        <v>2</v>
      </c>
      <c r="Q35" s="95" t="n">
        <v>1</v>
      </c>
      <c r="R35" s="99" t="n">
        <v>1</v>
      </c>
      <c r="S35" s="102" t="n">
        <v>0</v>
      </c>
      <c r="T35" s="105" t="n">
        <v>0</v>
      </c>
      <c r="U35" s="108" t="n">
        <v>0</v>
      </c>
      <c r="V35" s="110" t="n">
        <v>1</v>
      </c>
      <c r="W35" s="113" t="n">
        <v>1</v>
      </c>
      <c r="X35" s="117" t="n">
        <v>0</v>
      </c>
      <c r="Y35" s="120" t="n">
        <v>0</v>
      </c>
      <c r="Z35" s="121" t="n">
        <v>3</v>
      </c>
      <c r="AA35" s="127" t="n">
        <v>0</v>
      </c>
      <c r="AB35" s="130" t="n">
        <v>0</v>
      </c>
      <c r="AC35" s="133" t="n">
        <v>0</v>
      </c>
      <c r="AD35" s="136" t="n">
        <v>0</v>
      </c>
      <c r="AE35" s="138" t="n">
        <v>0</v>
      </c>
      <c r="AF35" s="142" t="n">
        <v>0</v>
      </c>
      <c r="AG35" s="144" t="n">
        <v>1</v>
      </c>
      <c r="AH35" s="148" t="n">
        <v>0</v>
      </c>
      <c r="AI35" s="151" t="n">
        <v>0</v>
      </c>
      <c r="AJ35" s="154" t="n">
        <v>0</v>
      </c>
      <c r="AK35" s="153" t="n">
        <v>4</v>
      </c>
      <c r="AL35" s="156" t="n">
        <v>-1</v>
      </c>
      <c r="AM35" s="159" t="n">
        <v>1</v>
      </c>
      <c r="AN35" s="162" t="n">
        <v>1</v>
      </c>
      <c r="AO35" s="162" t="n">
        <v>1</v>
      </c>
      <c r="AP35" s="166" t="n">
        <v>0</v>
      </c>
      <c r="AQ35" s="169" t="n">
        <v>0</v>
      </c>
      <c r="AR35" s="172" t="n">
        <v>0</v>
      </c>
      <c r="AS35" s="175" t="n">
        <v>0</v>
      </c>
      <c r="AT35" s="178" t="n">
        <v>0</v>
      </c>
      <c r="AU35" s="178" t="n">
        <v>0</v>
      </c>
      <c r="AV35" s="181" t="n">
        <v>0</v>
      </c>
      <c r="AW35" s="184" t="n">
        <v>1</v>
      </c>
      <c r="AX35" s="183" t="n">
        <v>0</v>
      </c>
      <c r="AY35" s="186" t="n">
        <v>1</v>
      </c>
      <c r="AZ35" s="189" t="n">
        <v>0</v>
      </c>
      <c r="BA35" s="192" t="n">
        <v>0</v>
      </c>
      <c r="BB35" s="196" t="n">
        <v>0</v>
      </c>
      <c r="BC35" s="199" t="n">
        <v>0</v>
      </c>
      <c r="BD35" s="202" t="n">
        <v>0</v>
      </c>
      <c r="BE35" s="205" t="n">
        <v>0</v>
      </c>
      <c r="BF35" s="204" t="n">
        <v>1</v>
      </c>
      <c r="BG35" s="207" t="n">
        <v>2</v>
      </c>
      <c r="BH35" s="211" t="n">
        <v>0</v>
      </c>
      <c r="BI35" s="211" t="n">
        <v>0</v>
      </c>
      <c r="BJ35" s="211" t="n">
        <v>0</v>
      </c>
      <c r="BK35" s="211" t="n">
        <v>0</v>
      </c>
      <c r="BL35" s="211" t="n">
        <v>0</v>
      </c>
      <c r="BM35" s="211" t="n">
        <v>0</v>
      </c>
      <c r="BN35" s="215" t="n">
        <v>0</v>
      </c>
      <c r="BO35" s="215" t="n">
        <v>0</v>
      </c>
      <c r="BP35" s="215" t="n">
        <v>0</v>
      </c>
      <c r="BQ35" s="215" t="n">
        <v>0</v>
      </c>
    </row>
    <row r="36">
      <c r="A36" s="22">
        <f>"https://open.spotify.com/playlist/" &amp; C36</f>
        <v/>
      </c>
      <c r="B36" s="1" t="inlineStr">
        <is>
          <t>Burpees &amp; Lunges 2026 | Cardio Strength &amp; Fat Burn 🔥💦</t>
        </is>
      </c>
      <c r="C36" s="1" t="inlineStr">
        <is>
          <t>0UiUlmrpADp1mPg4b0p2rz</t>
        </is>
      </c>
      <c r="D36" s="3" t="n">
        <v>25</v>
      </c>
      <c r="E36" s="21" t="n">
        <v>0</v>
      </c>
      <c r="F36" s="25" t="n">
        <v>0</v>
      </c>
      <c r="G36" s="25" t="n">
        <v>0</v>
      </c>
      <c r="H36" s="29" t="n">
        <v>0</v>
      </c>
      <c r="I36" s="31" t="n">
        <v>1</v>
      </c>
      <c r="J36" s="73" t="n">
        <v>1</v>
      </c>
      <c r="K36" s="76" t="n">
        <v>0</v>
      </c>
      <c r="L36" s="80" t="n">
        <v>0</v>
      </c>
      <c r="M36" s="83" t="n">
        <v>0</v>
      </c>
      <c r="N36" s="86" t="n">
        <v>0</v>
      </c>
      <c r="O36" s="90" t="n">
        <v>0</v>
      </c>
      <c r="P36" s="93" t="n">
        <v>0</v>
      </c>
      <c r="Q36" s="96" t="n">
        <v>0</v>
      </c>
      <c r="R36" s="98" t="n">
        <v>0</v>
      </c>
      <c r="S36" s="101" t="n">
        <v>1</v>
      </c>
      <c r="T36" s="105" t="n">
        <v>0</v>
      </c>
      <c r="U36" s="108" t="n">
        <v>0</v>
      </c>
      <c r="V36" s="111" t="n">
        <v>0</v>
      </c>
      <c r="W36" s="113" t="n">
        <v>1</v>
      </c>
      <c r="X36" s="116" t="n">
        <v>1</v>
      </c>
      <c r="Y36" s="120" t="n">
        <v>0</v>
      </c>
      <c r="Z36" s="123" t="n">
        <v>0</v>
      </c>
      <c r="AA36" s="127" t="n">
        <v>0</v>
      </c>
      <c r="AB36" s="130" t="n">
        <v>0</v>
      </c>
      <c r="AC36" s="133" t="n">
        <v>0</v>
      </c>
      <c r="AD36" s="136" t="n">
        <v>0</v>
      </c>
      <c r="AE36" s="139" t="n">
        <v>1</v>
      </c>
      <c r="AF36" s="141" t="n">
        <v>1</v>
      </c>
      <c r="AG36" s="144" t="n">
        <v>1</v>
      </c>
      <c r="AH36" s="147" t="n">
        <v>1</v>
      </c>
      <c r="AI36" s="151" t="n">
        <v>0</v>
      </c>
      <c r="AJ36" s="154" t="n">
        <v>0</v>
      </c>
      <c r="AK36" s="154" t="n">
        <v>0</v>
      </c>
      <c r="AL36" s="156" t="n">
        <v>0</v>
      </c>
      <c r="AM36" s="160" t="n">
        <v>0</v>
      </c>
      <c r="AN36" s="163" t="n">
        <v>0</v>
      </c>
      <c r="AO36" s="163" t="n">
        <v>0</v>
      </c>
      <c r="AP36" s="165" t="n">
        <v>1</v>
      </c>
      <c r="AQ36" s="169" t="n">
        <v>0</v>
      </c>
      <c r="AR36" s="172" t="n">
        <v>0</v>
      </c>
      <c r="AS36" s="175" t="n">
        <v>0</v>
      </c>
      <c r="AT36" s="178" t="n">
        <v>0</v>
      </c>
      <c r="AU36" s="178" t="n">
        <v>0</v>
      </c>
      <c r="AV36" s="181" t="n">
        <v>0</v>
      </c>
      <c r="AW36" s="183" t="n">
        <v>0</v>
      </c>
      <c r="AX36" s="184" t="n">
        <v>1</v>
      </c>
      <c r="AY36" s="187" t="n">
        <v>0</v>
      </c>
      <c r="AZ36" s="189" t="n">
        <v>0</v>
      </c>
      <c r="BA36" s="191" t="n">
        <v>1</v>
      </c>
      <c r="BB36" s="196" t="n">
        <v>0</v>
      </c>
      <c r="BC36" s="198" t="n">
        <v>1</v>
      </c>
      <c r="BD36" s="201" t="n">
        <v>1</v>
      </c>
      <c r="BE36" s="205" t="n">
        <v>0</v>
      </c>
      <c r="BF36" s="205" t="n">
        <v>0</v>
      </c>
      <c r="BG36" s="207" t="n">
        <v>2</v>
      </c>
      <c r="BH36" s="211" t="n">
        <v>0</v>
      </c>
      <c r="BI36" s="210" t="n">
        <v>1</v>
      </c>
      <c r="BJ36" s="211" t="n">
        <v>0</v>
      </c>
      <c r="BK36" s="211" t="n">
        <v>0</v>
      </c>
      <c r="BL36" s="210" t="n">
        <v>1</v>
      </c>
      <c r="BM36" s="211" t="n">
        <v>0</v>
      </c>
      <c r="BN36" s="215" t="n">
        <v>0</v>
      </c>
      <c r="BO36" s="215" t="n">
        <v>0</v>
      </c>
      <c r="BP36" s="214" t="n">
        <v>1</v>
      </c>
      <c r="BQ36" s="215" t="n">
        <v>0</v>
      </c>
    </row>
    <row r="37">
      <c r="A37" s="22">
        <f>"https://open.spotify.com/playlist/" &amp; C37</f>
        <v/>
      </c>
      <c r="B37" s="1" t="inlineStr">
        <is>
          <t>Circuit Training — Power &amp; Adrenaline Mix 🔄🔥</t>
        </is>
      </c>
      <c r="C37" s="1" t="inlineStr">
        <is>
          <t>6iMu2y83ZBUhzJV7RLYiR8</t>
        </is>
      </c>
      <c r="D37" s="3" t="n">
        <v>66</v>
      </c>
      <c r="E37" s="21" t="n">
        <v>0</v>
      </c>
      <c r="F37" s="25" t="n">
        <v>0</v>
      </c>
      <c r="G37" s="25" t="n">
        <v>0</v>
      </c>
      <c r="H37" s="28" t="n">
        <v>1</v>
      </c>
      <c r="I37" s="31" t="n">
        <v>2</v>
      </c>
      <c r="J37" s="73" t="n">
        <v>1</v>
      </c>
      <c r="K37" s="77" t="n">
        <v>2</v>
      </c>
      <c r="L37" s="79" t="n">
        <v>3</v>
      </c>
      <c r="M37" s="82" t="n">
        <v>2</v>
      </c>
      <c r="N37" s="85" t="n">
        <v>1</v>
      </c>
      <c r="O37" s="90" t="n">
        <v>0</v>
      </c>
      <c r="P37" s="92" t="n">
        <v>3</v>
      </c>
      <c r="Q37" s="96" t="n">
        <v>0</v>
      </c>
      <c r="R37" s="99" t="n">
        <v>2</v>
      </c>
      <c r="S37" s="102" t="n">
        <v>0</v>
      </c>
      <c r="T37" s="104" t="n">
        <v>1</v>
      </c>
      <c r="U37" s="107" t="n">
        <v>1</v>
      </c>
      <c r="V37" s="110" t="n">
        <v>1</v>
      </c>
      <c r="W37" s="113" t="n">
        <v>1</v>
      </c>
      <c r="X37" s="116" t="n">
        <v>1</v>
      </c>
      <c r="Y37" s="119" t="n">
        <v>1</v>
      </c>
      <c r="Z37" s="121" t="n">
        <v>3</v>
      </c>
      <c r="AA37" s="126" t="n">
        <v>1</v>
      </c>
      <c r="AB37" s="130" t="n">
        <v>0</v>
      </c>
      <c r="AC37" s="132" t="n">
        <v>2</v>
      </c>
      <c r="AD37" s="134" t="n">
        <v>4</v>
      </c>
      <c r="AE37" s="138" t="n">
        <v>0</v>
      </c>
      <c r="AF37" s="141" t="n">
        <v>1</v>
      </c>
      <c r="AG37" s="144" t="n">
        <v>3</v>
      </c>
      <c r="AH37" s="148" t="n">
        <v>0</v>
      </c>
      <c r="AI37" s="150" t="n">
        <v>2</v>
      </c>
      <c r="AJ37" s="152" t="n">
        <v>1</v>
      </c>
      <c r="AK37" s="152" t="n">
        <v>1</v>
      </c>
      <c r="AL37" s="157" t="n">
        <v>1</v>
      </c>
      <c r="AM37" s="159" t="n">
        <v>1</v>
      </c>
      <c r="AN37" s="163" t="n">
        <v>0</v>
      </c>
      <c r="AO37" s="163" t="n">
        <v>0</v>
      </c>
      <c r="AP37" s="165" t="n">
        <v>1</v>
      </c>
      <c r="AQ37" s="169" t="n">
        <v>0</v>
      </c>
      <c r="AR37" s="170" t="n">
        <v>4</v>
      </c>
      <c r="AS37" s="175" t="n">
        <v>0</v>
      </c>
      <c r="AT37" s="178" t="n">
        <v>0</v>
      </c>
      <c r="AU37" s="177" t="n">
        <v>1</v>
      </c>
      <c r="AV37" s="180" t="n">
        <v>1</v>
      </c>
      <c r="AW37" s="184" t="n">
        <v>1</v>
      </c>
      <c r="AX37" s="184" t="n">
        <v>1</v>
      </c>
      <c r="AY37" s="186" t="n">
        <v>1</v>
      </c>
      <c r="AZ37" s="190" t="n">
        <v>1</v>
      </c>
      <c r="BA37" s="191" t="n">
        <v>1</v>
      </c>
      <c r="BB37" s="196" t="n">
        <v>0</v>
      </c>
      <c r="BC37" s="199" t="n">
        <v>0</v>
      </c>
      <c r="BD37" s="201" t="n">
        <v>2</v>
      </c>
      <c r="BE37" s="205" t="n">
        <v>0</v>
      </c>
      <c r="BF37" s="205" t="n">
        <v>-1</v>
      </c>
      <c r="BG37" s="207" t="n">
        <v>1</v>
      </c>
      <c r="BH37" s="210" t="n">
        <v>1</v>
      </c>
      <c r="BI37" s="210" t="n">
        <v>1</v>
      </c>
      <c r="BJ37" s="211" t="n">
        <v>-1</v>
      </c>
      <c r="BK37" s="211" t="n">
        <v>0</v>
      </c>
      <c r="BL37" s="210" t="n">
        <v>1</v>
      </c>
      <c r="BM37" s="211" t="n">
        <v>0</v>
      </c>
      <c r="BN37" s="215" t="n">
        <v>0</v>
      </c>
      <c r="BO37" s="215" t="n">
        <v>0</v>
      </c>
      <c r="BP37" s="214" t="n">
        <v>1</v>
      </c>
      <c r="BQ37" s="214" t="n">
        <v>1</v>
      </c>
    </row>
    <row r="38">
      <c r="A38" s="22">
        <f>"https://open.spotify.com/playlist/" &amp; C38</f>
        <v/>
      </c>
      <c r="B38" s="1" t="inlineStr">
        <is>
          <t>BRABO Running Music 180–190 BPM 🔥 Músicas Rápidas para Correr | Playlist Jogging</t>
        </is>
      </c>
      <c r="C38" s="1" t="inlineStr">
        <is>
          <t>3LVRUkstxaGPgRfIRSBMtp</t>
        </is>
      </c>
      <c r="D38" s="3" t="n">
        <v>439</v>
      </c>
      <c r="E38" s="21" t="n">
        <v>0</v>
      </c>
      <c r="F38" s="25" t="n">
        <v>0</v>
      </c>
      <c r="G38" s="25" t="n">
        <v>0</v>
      </c>
      <c r="H38" s="28" t="n">
        <v>1</v>
      </c>
      <c r="I38" s="32" t="n">
        <v>0</v>
      </c>
      <c r="J38" s="73" t="n">
        <v>2</v>
      </c>
      <c r="K38" s="76" t="n">
        <v>0</v>
      </c>
      <c r="L38" s="80" t="n">
        <v>0</v>
      </c>
      <c r="M38" s="83" t="n">
        <v>0</v>
      </c>
      <c r="N38" s="85" t="n">
        <v>1</v>
      </c>
      <c r="O38" s="88" t="n">
        <v>5</v>
      </c>
      <c r="P38" s="92" t="n">
        <v>3</v>
      </c>
      <c r="Q38" s="94" t="n">
        <v>10</v>
      </c>
      <c r="R38" s="97" t="n">
        <v>6</v>
      </c>
      <c r="S38" s="100" t="n">
        <v>11</v>
      </c>
      <c r="T38" s="103" t="n">
        <v>5</v>
      </c>
      <c r="U38" s="107" t="n">
        <v>2</v>
      </c>
      <c r="V38" s="109" t="n">
        <v>16</v>
      </c>
      <c r="W38" s="112" t="n">
        <v>11</v>
      </c>
      <c r="X38" s="115" t="n">
        <v>7</v>
      </c>
      <c r="Y38" s="118" t="n">
        <v>11</v>
      </c>
      <c r="Z38" s="122" t="n">
        <v>9</v>
      </c>
      <c r="AA38" s="125" t="n">
        <v>5</v>
      </c>
      <c r="AB38" s="128" t="n">
        <v>10</v>
      </c>
      <c r="AC38" s="131" t="n">
        <v>12</v>
      </c>
      <c r="AD38" s="134" t="n">
        <v>12</v>
      </c>
      <c r="AE38" s="137" t="n">
        <v>8</v>
      </c>
      <c r="AF38" s="140" t="n">
        <v>10</v>
      </c>
      <c r="AG38" s="143" t="n">
        <v>17</v>
      </c>
      <c r="AH38" s="147" t="n">
        <v>3</v>
      </c>
      <c r="AI38" s="149" t="n">
        <v>14</v>
      </c>
      <c r="AJ38" s="153" t="n">
        <v>9</v>
      </c>
      <c r="AK38" s="153" t="n">
        <v>6</v>
      </c>
      <c r="AL38" s="155" t="n">
        <v>7</v>
      </c>
      <c r="AM38" s="158" t="n">
        <v>6</v>
      </c>
      <c r="AN38" s="161" t="n">
        <v>9</v>
      </c>
      <c r="AO38" s="161" t="n">
        <v>9</v>
      </c>
      <c r="AP38" s="164" t="n">
        <v>4</v>
      </c>
      <c r="AQ38" s="167" t="n">
        <v>6</v>
      </c>
      <c r="AR38" s="170" t="n">
        <v>5</v>
      </c>
      <c r="AS38" s="173" t="n">
        <v>6</v>
      </c>
      <c r="AT38" s="176" t="n">
        <v>6</v>
      </c>
      <c r="AU38" s="176" t="n">
        <v>8</v>
      </c>
      <c r="AV38" s="179" t="n">
        <v>12</v>
      </c>
      <c r="AW38" s="182" t="n">
        <v>5</v>
      </c>
      <c r="AX38" s="182" t="n">
        <v>12</v>
      </c>
      <c r="AY38" s="185" t="n">
        <v>8</v>
      </c>
      <c r="AZ38" s="188" t="n">
        <v>12</v>
      </c>
      <c r="BA38" s="191" t="n">
        <v>3</v>
      </c>
      <c r="BB38" s="195" t="n">
        <v>7</v>
      </c>
      <c r="BC38" s="197" t="n">
        <v>7</v>
      </c>
      <c r="BD38" s="200" t="n">
        <v>8</v>
      </c>
      <c r="BE38" s="203" t="n">
        <v>15</v>
      </c>
      <c r="BF38" s="203" t="n">
        <v>7</v>
      </c>
      <c r="BG38" s="206" t="n">
        <v>8</v>
      </c>
      <c r="BH38" s="209" t="n">
        <v>6</v>
      </c>
      <c r="BI38" s="209" t="n">
        <v>10</v>
      </c>
      <c r="BJ38" s="209" t="n">
        <v>6</v>
      </c>
      <c r="BK38" s="209" t="n">
        <v>6</v>
      </c>
      <c r="BL38" s="209" t="n">
        <v>4</v>
      </c>
      <c r="BM38" s="209" t="n">
        <v>6</v>
      </c>
      <c r="BN38" s="216" t="n">
        <v>5</v>
      </c>
      <c r="BO38" s="214" t="n">
        <v>3</v>
      </c>
      <c r="BP38" s="216" t="n">
        <v>5</v>
      </c>
      <c r="BQ38" s="216" t="n">
        <v>7</v>
      </c>
    </row>
    <row r="39">
      <c r="A39" s="22">
        <f>"https://open.spotify.com/playlist/" &amp; C39</f>
        <v/>
      </c>
      <c r="B39" s="1" t="inlineStr">
        <is>
          <t>Running Music 200 BPM | Super Fast Songs for Running &amp; Extreme Speed Workouts ⚡🏃‍♂️</t>
        </is>
      </c>
      <c r="C39" s="1" t="inlineStr">
        <is>
          <t>0xJ2vKS7Nb7Le0ugC3VshF</t>
        </is>
      </c>
      <c r="D39" s="3" t="n">
        <v>183</v>
      </c>
      <c r="E39" s="20" t="n">
        <v>1</v>
      </c>
      <c r="F39" s="25" t="n">
        <v>0</v>
      </c>
      <c r="G39" s="25" t="n">
        <v>0</v>
      </c>
      <c r="H39" s="29" t="n">
        <v>0</v>
      </c>
      <c r="I39" s="32" t="n">
        <v>0</v>
      </c>
      <c r="J39" s="74" t="n">
        <v>0</v>
      </c>
      <c r="K39" s="76" t="n">
        <v>0</v>
      </c>
      <c r="L39" s="79" t="n">
        <v>2</v>
      </c>
      <c r="M39" s="81" t="n">
        <v>5</v>
      </c>
      <c r="N39" s="84" t="n">
        <v>10</v>
      </c>
      <c r="O39" s="89" t="n">
        <v>1</v>
      </c>
      <c r="P39" s="91" t="n">
        <v>4</v>
      </c>
      <c r="Q39" s="95" t="n">
        <v>2</v>
      </c>
      <c r="R39" s="99" t="n">
        <v>1</v>
      </c>
      <c r="S39" s="100" t="n">
        <v>4</v>
      </c>
      <c r="T39" s="104" t="n">
        <v>2</v>
      </c>
      <c r="U39" s="107" t="n">
        <v>2</v>
      </c>
      <c r="V39" s="110" t="n">
        <v>1</v>
      </c>
      <c r="W39" s="114" t="n">
        <v>0</v>
      </c>
      <c r="X39" s="116" t="n">
        <v>1</v>
      </c>
      <c r="Y39" s="118" t="n">
        <v>4</v>
      </c>
      <c r="Z39" s="121" t="n">
        <v>2</v>
      </c>
      <c r="AA39" s="126" t="n">
        <v>2</v>
      </c>
      <c r="AB39" s="128" t="n">
        <v>7</v>
      </c>
      <c r="AC39" s="131" t="n">
        <v>5</v>
      </c>
      <c r="AD39" s="135" t="n">
        <v>3</v>
      </c>
      <c r="AE39" s="139" t="n">
        <v>1</v>
      </c>
      <c r="AF39" s="141" t="n">
        <v>3</v>
      </c>
      <c r="AG39" s="143" t="n">
        <v>7</v>
      </c>
      <c r="AH39" s="147" t="n">
        <v>3</v>
      </c>
      <c r="AI39" s="149" t="n">
        <v>4</v>
      </c>
      <c r="AJ39" s="153" t="n">
        <v>6</v>
      </c>
      <c r="AK39" s="152" t="n">
        <v>3</v>
      </c>
      <c r="AL39" s="157" t="n">
        <v>3</v>
      </c>
      <c r="AM39" s="158" t="n">
        <v>4</v>
      </c>
      <c r="AN39" s="161" t="n">
        <v>3</v>
      </c>
      <c r="AO39" s="161" t="n">
        <v>3</v>
      </c>
      <c r="AP39" s="165" t="n">
        <v>3</v>
      </c>
      <c r="AQ39" s="167" t="n">
        <v>5</v>
      </c>
      <c r="AR39" s="171" t="n">
        <v>3</v>
      </c>
      <c r="AS39" s="174" t="n">
        <v>3</v>
      </c>
      <c r="AT39" s="176" t="n">
        <v>7</v>
      </c>
      <c r="AU39" s="176" t="n">
        <v>4</v>
      </c>
      <c r="AV39" s="180" t="n">
        <v>1</v>
      </c>
      <c r="AW39" s="184" t="n">
        <v>2</v>
      </c>
      <c r="AX39" s="182" t="n">
        <v>5</v>
      </c>
      <c r="AY39" s="185" t="n">
        <v>7</v>
      </c>
      <c r="AZ39" s="190" t="n">
        <v>2</v>
      </c>
      <c r="BA39" s="191" t="n">
        <v>1</v>
      </c>
      <c r="BB39" s="194" t="n">
        <v>3</v>
      </c>
      <c r="BC39" s="197" t="n">
        <v>5</v>
      </c>
      <c r="BD39" s="201" t="n">
        <v>3</v>
      </c>
      <c r="BE39" s="204" t="n">
        <v>2</v>
      </c>
      <c r="BF39" s="204" t="n">
        <v>2</v>
      </c>
      <c r="BG39" s="207" t="n">
        <v>2</v>
      </c>
      <c r="BH39" s="211" t="n">
        <v>0</v>
      </c>
      <c r="BI39" s="209" t="n">
        <v>4</v>
      </c>
      <c r="BJ39" s="210" t="n">
        <v>3</v>
      </c>
      <c r="BK39" s="210" t="n">
        <v>3</v>
      </c>
      <c r="BL39" s="210" t="n">
        <v>3</v>
      </c>
      <c r="BM39" s="210" t="n">
        <v>2</v>
      </c>
      <c r="BN39" s="215" t="n">
        <v>0</v>
      </c>
      <c r="BO39" s="215" t="n">
        <v>0</v>
      </c>
      <c r="BP39" s="216" t="n">
        <v>4</v>
      </c>
      <c r="BQ39" s="215" t="n">
        <v>0</v>
      </c>
    </row>
    <row r="40">
      <c r="A40" s="22">
        <f>"https://open.spotify.com/playlist/" &amp; C40</f>
        <v/>
      </c>
      <c r="B40" s="1" t="inlineStr">
        <is>
          <t>Cycling Training — No Excuses Pump Up 🚴‍♂️🔥</t>
        </is>
      </c>
      <c r="C40" s="1" t="inlineStr">
        <is>
          <t>6JhBUMvFqZCuVekddkZgB3</t>
        </is>
      </c>
      <c r="D40" s="3" t="n">
        <v>45</v>
      </c>
      <c r="E40" s="21" t="n">
        <v>0</v>
      </c>
      <c r="F40" s="25" t="n">
        <v>0</v>
      </c>
      <c r="G40" s="26" t="n">
        <v>1</v>
      </c>
      <c r="H40" s="28" t="n">
        <v>2</v>
      </c>
      <c r="I40" s="31" t="n">
        <v>1</v>
      </c>
      <c r="J40" s="73" t="n">
        <v>1</v>
      </c>
      <c r="K40" s="76" t="n">
        <v>0</v>
      </c>
      <c r="L40" s="80" t="n">
        <v>0</v>
      </c>
      <c r="M40" s="83" t="n">
        <v>0</v>
      </c>
      <c r="N40" s="85" t="n">
        <v>1</v>
      </c>
      <c r="O40" s="90" t="n">
        <v>0</v>
      </c>
      <c r="P40" s="92" t="n">
        <v>1</v>
      </c>
      <c r="Q40" s="95" t="n">
        <v>1</v>
      </c>
      <c r="R40" s="99" t="n">
        <v>1</v>
      </c>
      <c r="S40" s="101" t="n">
        <v>2</v>
      </c>
      <c r="T40" s="105" t="n">
        <v>0</v>
      </c>
      <c r="U40" s="107" t="n">
        <v>2</v>
      </c>
      <c r="V40" s="111" t="n">
        <v>0</v>
      </c>
      <c r="W40" s="113" t="n">
        <v>2</v>
      </c>
      <c r="X40" s="116" t="n">
        <v>2</v>
      </c>
      <c r="Y40" s="119" t="n">
        <v>2</v>
      </c>
      <c r="Z40" s="121" t="n">
        <v>1</v>
      </c>
      <c r="AA40" s="127" t="n">
        <v>0</v>
      </c>
      <c r="AB40" s="130" t="n">
        <v>-1</v>
      </c>
      <c r="AC40" s="133" t="n">
        <v>0</v>
      </c>
      <c r="AD40" s="135" t="n">
        <v>1</v>
      </c>
      <c r="AE40" s="138" t="n">
        <v>0</v>
      </c>
      <c r="AF40" s="141" t="n">
        <v>1</v>
      </c>
      <c r="AG40" s="144" t="n">
        <v>1</v>
      </c>
      <c r="AH40" s="148" t="n">
        <v>0</v>
      </c>
      <c r="AI40" s="150" t="n">
        <v>1</v>
      </c>
      <c r="AJ40" s="152" t="n">
        <v>1</v>
      </c>
      <c r="AK40" s="152" t="n">
        <v>2</v>
      </c>
      <c r="AL40" s="156" t="n">
        <v>0</v>
      </c>
      <c r="AM40" s="160" t="n">
        <v>0</v>
      </c>
      <c r="AN40" s="163" t="n">
        <v>0</v>
      </c>
      <c r="AO40" s="163" t="n">
        <v>0</v>
      </c>
      <c r="AP40" s="166" t="n">
        <v>0</v>
      </c>
      <c r="AQ40" s="169" t="n">
        <v>0</v>
      </c>
      <c r="AR40" s="171" t="n">
        <v>1</v>
      </c>
      <c r="AS40" s="174" t="n">
        <v>1</v>
      </c>
      <c r="AT40" s="177" t="n">
        <v>1</v>
      </c>
      <c r="AU40" s="177" t="n">
        <v>1</v>
      </c>
      <c r="AV40" s="181" t="n">
        <v>0</v>
      </c>
      <c r="AW40" s="183" t="n">
        <v>0</v>
      </c>
      <c r="AX40" s="183" t="n">
        <v>0</v>
      </c>
      <c r="AY40" s="186" t="n">
        <v>1</v>
      </c>
      <c r="AZ40" s="190" t="n">
        <v>1</v>
      </c>
      <c r="BA40" s="192" t="n">
        <v>0</v>
      </c>
      <c r="BB40" s="194" t="n">
        <v>2</v>
      </c>
      <c r="BC40" s="199" t="n">
        <v>0</v>
      </c>
      <c r="BD40" s="201" t="n">
        <v>2</v>
      </c>
      <c r="BE40" s="204" t="n">
        <v>1</v>
      </c>
      <c r="BF40" s="205" t="n">
        <v>0</v>
      </c>
      <c r="BG40" s="207" t="n">
        <v>1</v>
      </c>
      <c r="BH40" s="211" t="n">
        <v>0</v>
      </c>
      <c r="BI40" s="211" t="n">
        <v>0</v>
      </c>
      <c r="BJ40" s="210" t="n">
        <v>1</v>
      </c>
      <c r="BK40" s="211" t="n">
        <v>0</v>
      </c>
      <c r="BL40" s="210" t="n">
        <v>1</v>
      </c>
      <c r="BM40" s="211" t="n">
        <v>0</v>
      </c>
      <c r="BN40" s="215" t="n">
        <v>0</v>
      </c>
      <c r="BO40" s="215" t="n">
        <v>0</v>
      </c>
      <c r="BP40" s="215" t="n">
        <v>0</v>
      </c>
      <c r="BQ40" s="215" t="n">
        <v>0</v>
      </c>
    </row>
    <row r="41">
      <c r="A41" s="22">
        <f>"https://open.spotify.com/playlist/" &amp; C41</f>
        <v/>
      </c>
      <c r="B41" s="1" t="inlineStr">
        <is>
          <t>BRUTAL Running 150–160 BPM 🔥 Música Running 150–160 BPM | Playlist Tempo Run | Cardio</t>
        </is>
      </c>
      <c r="C41" s="1" t="inlineStr">
        <is>
          <t>2Yun0vIN9nBJfs5wqOAXYB</t>
        </is>
      </c>
      <c r="D41" s="3" t="n">
        <v>95</v>
      </c>
      <c r="E41" s="20" t="n">
        <v>1</v>
      </c>
      <c r="F41" s="26" t="n">
        <v>1</v>
      </c>
      <c r="G41" s="25" t="n">
        <v>0</v>
      </c>
      <c r="H41" s="29" t="n">
        <v>0</v>
      </c>
      <c r="I41" s="32" t="n">
        <v>0</v>
      </c>
      <c r="J41" s="74" t="n">
        <v>0</v>
      </c>
      <c r="K41" s="76" t="n">
        <v>0</v>
      </c>
      <c r="L41" s="79" t="n">
        <v>1</v>
      </c>
      <c r="M41" s="82" t="n">
        <v>2</v>
      </c>
      <c r="N41" s="85" t="n">
        <v>1</v>
      </c>
      <c r="O41" s="89" t="n">
        <v>1</v>
      </c>
      <c r="P41" s="93" t="n">
        <v>0</v>
      </c>
      <c r="Q41" s="95" t="n">
        <v>3</v>
      </c>
      <c r="R41" s="99" t="n">
        <v>1</v>
      </c>
      <c r="S41" s="101" t="n">
        <v>3</v>
      </c>
      <c r="T41" s="104" t="n">
        <v>1</v>
      </c>
      <c r="U41" s="108" t="n">
        <v>0</v>
      </c>
      <c r="V41" s="110" t="n">
        <v>2</v>
      </c>
      <c r="W41" s="113" t="n">
        <v>1</v>
      </c>
      <c r="X41" s="116" t="n">
        <v>3</v>
      </c>
      <c r="Y41" s="119" t="n">
        <v>3</v>
      </c>
      <c r="Z41" s="121" t="n">
        <v>1</v>
      </c>
      <c r="AA41" s="127" t="n">
        <v>0</v>
      </c>
      <c r="AB41" s="130" t="n">
        <v>0</v>
      </c>
      <c r="AC41" s="132" t="n">
        <v>1</v>
      </c>
      <c r="AD41" s="135" t="n">
        <v>1</v>
      </c>
      <c r="AE41" s="139" t="n">
        <v>3</v>
      </c>
      <c r="AF41" s="141" t="n">
        <v>2</v>
      </c>
      <c r="AG41" s="144" t="n">
        <v>2</v>
      </c>
      <c r="AH41" s="146" t="n">
        <v>6</v>
      </c>
      <c r="AI41" s="151" t="n">
        <v>0</v>
      </c>
      <c r="AJ41" s="152" t="n">
        <v>1</v>
      </c>
      <c r="AK41" s="152" t="n">
        <v>3</v>
      </c>
      <c r="AL41" s="157" t="n">
        <v>3</v>
      </c>
      <c r="AM41" s="158" t="n">
        <v>6</v>
      </c>
      <c r="AN41" s="161" t="n">
        <v>2</v>
      </c>
      <c r="AO41" s="161" t="n">
        <v>2</v>
      </c>
      <c r="AP41" s="165" t="n">
        <v>2</v>
      </c>
      <c r="AQ41" s="168" t="n">
        <v>1</v>
      </c>
      <c r="AR41" s="171" t="n">
        <v>3</v>
      </c>
      <c r="AS41" s="175" t="n">
        <v>0</v>
      </c>
      <c r="AT41" s="178" t="n">
        <v>0</v>
      </c>
      <c r="AU41" s="177" t="n">
        <v>3</v>
      </c>
      <c r="AV41" s="180" t="n">
        <v>3</v>
      </c>
      <c r="AW41" s="184" t="n">
        <v>3</v>
      </c>
      <c r="AX41" s="184" t="n">
        <v>1</v>
      </c>
      <c r="AY41" s="186" t="n">
        <v>2</v>
      </c>
      <c r="AZ41" s="189" t="n">
        <v>-1</v>
      </c>
      <c r="BA41" s="191" t="n">
        <v>1</v>
      </c>
      <c r="BB41" s="194" t="n">
        <v>3</v>
      </c>
      <c r="BC41" s="198" t="n">
        <v>1</v>
      </c>
      <c r="BD41" s="201" t="n">
        <v>2</v>
      </c>
      <c r="BE41" s="204" t="n">
        <v>1</v>
      </c>
      <c r="BF41" s="205" t="n">
        <v>0</v>
      </c>
      <c r="BG41" s="207" t="n">
        <v>2</v>
      </c>
      <c r="BH41" s="210" t="n">
        <v>1</v>
      </c>
      <c r="BI41" s="210" t="n">
        <v>2</v>
      </c>
      <c r="BJ41" s="211" t="n">
        <v>0</v>
      </c>
      <c r="BK41" s="211" t="n">
        <v>0</v>
      </c>
      <c r="BL41" s="211" t="n">
        <v>0</v>
      </c>
      <c r="BM41" s="210" t="n">
        <v>1</v>
      </c>
      <c r="BN41" s="214" t="n">
        <v>2</v>
      </c>
      <c r="BO41" s="215" t="n">
        <v>0</v>
      </c>
      <c r="BP41" s="215" t="n">
        <v>0</v>
      </c>
      <c r="BQ41" s="215" t="n">
        <v>0</v>
      </c>
    </row>
    <row r="42">
      <c r="A42" s="22">
        <f>"https://open.spotify.com/playlist/" &amp; C42</f>
        <v/>
      </c>
      <c r="B42" s="1" t="inlineStr">
        <is>
          <t>ULTIMATE Beach Vibes 2026 🌴 | Summer Party &amp; Chill Playlist</t>
        </is>
      </c>
      <c r="C42" s="1" t="inlineStr">
        <is>
          <t>0yOJRWWsT7AkzO6xIG1OSk</t>
        </is>
      </c>
      <c r="D42" s="3" t="n">
        <v>37</v>
      </c>
      <c r="E42" s="21" t="n">
        <v>0</v>
      </c>
      <c r="F42" s="25" t="n">
        <v>0</v>
      </c>
      <c r="G42" s="25" t="n">
        <v>0</v>
      </c>
      <c r="H42" s="28" t="n">
        <v>1</v>
      </c>
      <c r="I42" s="31" t="n">
        <v>3</v>
      </c>
      <c r="J42" s="73" t="n">
        <v>2</v>
      </c>
      <c r="K42" s="76" t="n">
        <v>0</v>
      </c>
      <c r="L42" s="80" t="n">
        <v>0</v>
      </c>
      <c r="M42" s="83" t="n">
        <v>0</v>
      </c>
      <c r="N42" s="86" t="n">
        <v>0</v>
      </c>
      <c r="O42" s="89" t="n">
        <v>1</v>
      </c>
      <c r="P42" s="92" t="n">
        <v>1</v>
      </c>
      <c r="Q42" s="95" t="n">
        <v>1</v>
      </c>
      <c r="R42" s="99" t="n">
        <v>2</v>
      </c>
      <c r="S42" s="102" t="n">
        <v>0</v>
      </c>
      <c r="T42" s="104" t="n">
        <v>1</v>
      </c>
      <c r="U42" s="107" t="n">
        <v>1</v>
      </c>
      <c r="V42" s="111" t="n">
        <v>0</v>
      </c>
      <c r="W42" s="113" t="n">
        <v>2</v>
      </c>
      <c r="X42" s="116" t="n">
        <v>2</v>
      </c>
      <c r="Y42" s="119" t="n">
        <v>1</v>
      </c>
      <c r="Z42" s="123" t="n">
        <v>0</v>
      </c>
      <c r="AA42" s="127" t="n">
        <v>0</v>
      </c>
      <c r="AB42" s="129" t="n">
        <v>1</v>
      </c>
      <c r="AC42" s="132" t="n">
        <v>1</v>
      </c>
      <c r="AD42" s="136" t="n">
        <v>0</v>
      </c>
      <c r="AE42" s="138" t="n">
        <v>0</v>
      </c>
      <c r="AF42" s="141" t="n">
        <v>1</v>
      </c>
      <c r="AG42" s="144" t="n">
        <v>1</v>
      </c>
      <c r="AH42" s="147" t="n">
        <v>1</v>
      </c>
      <c r="AI42" s="150" t="n">
        <v>2</v>
      </c>
      <c r="AJ42" s="154" t="n">
        <v>0</v>
      </c>
      <c r="AK42" s="154" t="n">
        <v>0</v>
      </c>
      <c r="AL42" s="157" t="n">
        <v>3</v>
      </c>
      <c r="AM42" s="159" t="n">
        <v>1</v>
      </c>
      <c r="AN42" s="163" t="n">
        <v>0</v>
      </c>
      <c r="AO42" s="163" t="n">
        <v>0</v>
      </c>
      <c r="AP42" s="166" t="n">
        <v>-1</v>
      </c>
      <c r="AQ42" s="168" t="n">
        <v>1</v>
      </c>
      <c r="AR42" s="172" t="n">
        <v>0</v>
      </c>
      <c r="AS42" s="175" t="n">
        <v>0</v>
      </c>
      <c r="AT42" s="177" t="n">
        <v>1</v>
      </c>
      <c r="AU42" s="178" t="n">
        <v>0</v>
      </c>
      <c r="AV42" s="181" t="n">
        <v>0</v>
      </c>
      <c r="AW42" s="183" t="n">
        <v>0</v>
      </c>
      <c r="AX42" s="183" t="n">
        <v>0</v>
      </c>
      <c r="AY42" s="187" t="n">
        <v>0</v>
      </c>
      <c r="AZ42" s="189" t="n">
        <v>0</v>
      </c>
      <c r="BA42" s="192" t="n">
        <v>0</v>
      </c>
      <c r="BB42" s="196" t="n">
        <v>0</v>
      </c>
      <c r="BC42" s="198" t="n">
        <v>1</v>
      </c>
      <c r="BD42" s="202" t="n">
        <v>0</v>
      </c>
      <c r="BE42" s="205" t="n">
        <v>0</v>
      </c>
      <c r="BF42" s="205" t="n">
        <v>0</v>
      </c>
      <c r="BG42" s="207" t="n">
        <v>1</v>
      </c>
      <c r="BH42" s="211" t="n">
        <v>0</v>
      </c>
      <c r="BI42" s="211" t="n">
        <v>0</v>
      </c>
      <c r="BJ42" s="211" t="n">
        <v>0</v>
      </c>
      <c r="BK42" s="211" t="n">
        <v>0</v>
      </c>
      <c r="BL42" s="211" t="n">
        <v>0</v>
      </c>
      <c r="BM42" s="211" t="n">
        <v>0</v>
      </c>
      <c r="BN42" s="215" t="n">
        <v>0</v>
      </c>
      <c r="BO42" s="215" t="n">
        <v>0</v>
      </c>
      <c r="BP42" s="215" t="n">
        <v>0</v>
      </c>
      <c r="BQ42" s="215" t="n">
        <v>0</v>
      </c>
    </row>
    <row r="43">
      <c r="A43" s="22">
        <f>"https://open.spotify.com/playlist/" &amp; C43</f>
        <v/>
      </c>
      <c r="B43" s="1" t="inlineStr">
        <is>
          <t>Spinning Songs 150-160 BPM 2026 | Spinning Workout, Cycling Music &amp; Spin Class 🚴‍♀️⚡</t>
        </is>
      </c>
      <c r="C43" s="1" t="inlineStr">
        <is>
          <t>1wxNaGyVQ6hHn7gpOqop0u</t>
        </is>
      </c>
      <c r="D43" s="3" t="n">
        <v>205</v>
      </c>
      <c r="E43" s="20" t="n">
        <v>2</v>
      </c>
      <c r="F43" s="25" t="n">
        <v>0</v>
      </c>
      <c r="G43" s="25" t="n">
        <v>0</v>
      </c>
      <c r="H43" s="28" t="n">
        <v>1</v>
      </c>
      <c r="I43" s="32" t="n">
        <v>0</v>
      </c>
      <c r="J43" s="73" t="n">
        <v>2</v>
      </c>
      <c r="K43" s="77" t="n">
        <v>1</v>
      </c>
      <c r="L43" s="79" t="n">
        <v>2</v>
      </c>
      <c r="M43" s="81" t="n">
        <v>6</v>
      </c>
      <c r="N43" s="84" t="n">
        <v>4</v>
      </c>
      <c r="O43" s="88" t="n">
        <v>6</v>
      </c>
      <c r="P43" s="92" t="n">
        <v>3</v>
      </c>
      <c r="Q43" s="94" t="n">
        <v>4</v>
      </c>
      <c r="R43" s="97" t="n">
        <v>5</v>
      </c>
      <c r="S43" s="101" t="n">
        <v>1</v>
      </c>
      <c r="T43" s="104" t="n">
        <v>2</v>
      </c>
      <c r="U43" s="107" t="n">
        <v>2</v>
      </c>
      <c r="V43" s="111" t="n">
        <v>0</v>
      </c>
      <c r="W43" s="112" t="n">
        <v>5</v>
      </c>
      <c r="X43" s="115" t="n">
        <v>6</v>
      </c>
      <c r="Y43" s="118" t="n">
        <v>4</v>
      </c>
      <c r="Z43" s="122" t="n">
        <v>4</v>
      </c>
      <c r="AA43" s="125" t="n">
        <v>4</v>
      </c>
      <c r="AB43" s="129" t="n">
        <v>2</v>
      </c>
      <c r="AC43" s="132" t="n">
        <v>2</v>
      </c>
      <c r="AD43" s="135" t="n">
        <v>3</v>
      </c>
      <c r="AE43" s="139" t="n">
        <v>2</v>
      </c>
      <c r="AF43" s="141" t="n">
        <v>2</v>
      </c>
      <c r="AG43" s="144" t="n">
        <v>3</v>
      </c>
      <c r="AH43" s="148" t="n">
        <v>0</v>
      </c>
      <c r="AI43" s="149" t="n">
        <v>4</v>
      </c>
      <c r="AJ43" s="152" t="n">
        <v>2</v>
      </c>
      <c r="AK43" s="153" t="n">
        <v>5</v>
      </c>
      <c r="AL43" s="155" t="n">
        <v>7</v>
      </c>
      <c r="AM43" s="159" t="n">
        <v>1</v>
      </c>
      <c r="AN43" s="161" t="n">
        <v>3</v>
      </c>
      <c r="AO43" s="161" t="n">
        <v>2</v>
      </c>
      <c r="AP43" s="165" t="n">
        <v>1</v>
      </c>
      <c r="AQ43" s="168" t="n">
        <v>3</v>
      </c>
      <c r="AR43" s="170" t="n">
        <v>10</v>
      </c>
      <c r="AS43" s="174" t="n">
        <v>3</v>
      </c>
      <c r="AT43" s="177" t="n">
        <v>3</v>
      </c>
      <c r="AU43" s="177" t="n">
        <v>1</v>
      </c>
      <c r="AV43" s="179" t="n">
        <v>8</v>
      </c>
      <c r="AW43" s="182" t="n">
        <v>4</v>
      </c>
      <c r="AX43" s="184" t="n">
        <v>2</v>
      </c>
      <c r="AY43" s="185" t="n">
        <v>4</v>
      </c>
      <c r="AZ43" s="188" t="n">
        <v>5</v>
      </c>
      <c r="BA43" s="193" t="n">
        <v>6</v>
      </c>
      <c r="BB43" s="196" t="n">
        <v>0</v>
      </c>
      <c r="BC43" s="198" t="n">
        <v>2</v>
      </c>
      <c r="BD43" s="201" t="n">
        <v>3</v>
      </c>
      <c r="BE43" s="204" t="n">
        <v>2</v>
      </c>
      <c r="BF43" s="204" t="n">
        <v>3</v>
      </c>
      <c r="BG43" s="206" t="n">
        <v>7</v>
      </c>
      <c r="BH43" s="210" t="n">
        <v>2</v>
      </c>
      <c r="BI43" s="209" t="n">
        <v>5</v>
      </c>
      <c r="BJ43" s="210" t="n">
        <v>2</v>
      </c>
      <c r="BK43" s="210" t="n">
        <v>1</v>
      </c>
      <c r="BL43" s="210" t="n">
        <v>2</v>
      </c>
      <c r="BM43" s="210" t="n">
        <v>3</v>
      </c>
      <c r="BN43" s="214" t="n">
        <v>3</v>
      </c>
      <c r="BO43" s="215" t="n">
        <v>0</v>
      </c>
      <c r="BP43" s="216" t="n">
        <v>9</v>
      </c>
      <c r="BQ43" s="216" t="n">
        <v>4</v>
      </c>
    </row>
    <row r="44">
      <c r="A44" s="22">
        <f>"https://open.spotify.com/playlist/" &amp; C44</f>
        <v/>
      </c>
      <c r="B44" s="1" t="inlineStr">
        <is>
          <t>BASHMENT Amapiano Party 2026 | AFRORIDDIM &amp; AFROBEATS 🔥</t>
        </is>
      </c>
      <c r="C44" s="1" t="inlineStr">
        <is>
          <t>3b50GDbYJW7WUpSVe3zLHK</t>
        </is>
      </c>
      <c r="D44" s="3" t="n">
        <v>54</v>
      </c>
      <c r="E44" s="21" t="n">
        <v>0</v>
      </c>
      <c r="F44" s="25" t="n">
        <v>0</v>
      </c>
      <c r="G44" s="25" t="n">
        <v>0</v>
      </c>
      <c r="H44" s="29" t="n">
        <v>0</v>
      </c>
      <c r="I44" s="32" t="n">
        <v>0</v>
      </c>
      <c r="J44" s="74" t="n">
        <v>0</v>
      </c>
      <c r="K44" s="76" t="n">
        <v>0</v>
      </c>
      <c r="L44" s="79" t="n">
        <v>1</v>
      </c>
      <c r="M44" s="83" t="n">
        <v>0</v>
      </c>
      <c r="N44" s="85" t="n">
        <v>1</v>
      </c>
      <c r="O44" s="89" t="n">
        <v>1</v>
      </c>
      <c r="P44" s="92" t="n">
        <v>2</v>
      </c>
      <c r="Q44" s="96" t="n">
        <v>0</v>
      </c>
      <c r="R44" s="99" t="n">
        <v>1</v>
      </c>
      <c r="S44" s="101" t="n">
        <v>1</v>
      </c>
      <c r="T44" s="104" t="n">
        <v>2</v>
      </c>
      <c r="U44" s="107" t="n">
        <v>1</v>
      </c>
      <c r="V44" s="110" t="n">
        <v>2</v>
      </c>
      <c r="W44" s="113" t="n">
        <v>1</v>
      </c>
      <c r="X44" s="116" t="n">
        <v>2</v>
      </c>
      <c r="Y44" s="120" t="n">
        <v>0</v>
      </c>
      <c r="Z44" s="123" t="n">
        <v>0</v>
      </c>
      <c r="AA44" s="126" t="n">
        <v>2</v>
      </c>
      <c r="AB44" s="129" t="n">
        <v>2</v>
      </c>
      <c r="AC44" s="133" t="n">
        <v>0</v>
      </c>
      <c r="AD44" s="135" t="n">
        <v>1</v>
      </c>
      <c r="AE44" s="139" t="n">
        <v>1</v>
      </c>
      <c r="AF44" s="141" t="n">
        <v>1</v>
      </c>
      <c r="AG44" s="145" t="n">
        <v>0</v>
      </c>
      <c r="AH44" s="148" t="n">
        <v>0</v>
      </c>
      <c r="AI44" s="149" t="n">
        <v>4</v>
      </c>
      <c r="AJ44" s="152" t="n">
        <v>3</v>
      </c>
      <c r="AK44" s="152" t="n">
        <v>2</v>
      </c>
      <c r="AL44" s="156" t="n">
        <v>0</v>
      </c>
      <c r="AM44" s="158" t="n">
        <v>4</v>
      </c>
      <c r="AN44" s="162" t="n">
        <v>1</v>
      </c>
      <c r="AO44" s="162" t="n">
        <v>1</v>
      </c>
      <c r="AP44" s="166" t="n">
        <v>0</v>
      </c>
      <c r="AQ44" s="169" t="n">
        <v>0</v>
      </c>
      <c r="AR44" s="172" t="n">
        <v>-1</v>
      </c>
      <c r="AS44" s="174" t="n">
        <v>2</v>
      </c>
      <c r="AT44" s="177" t="n">
        <v>1</v>
      </c>
      <c r="AU44" s="178" t="n">
        <v>0</v>
      </c>
      <c r="AV44" s="180" t="n">
        <v>1</v>
      </c>
      <c r="AW44" s="183" t="n">
        <v>0</v>
      </c>
      <c r="AX44" s="183" t="n">
        <v>-1</v>
      </c>
      <c r="AY44" s="186" t="n">
        <v>1</v>
      </c>
      <c r="AZ44" s="190" t="n">
        <v>1</v>
      </c>
      <c r="BA44" s="192" t="n">
        <v>0</v>
      </c>
      <c r="BB44" s="194" t="n">
        <v>2</v>
      </c>
      <c r="BC44" s="199" t="n">
        <v>0</v>
      </c>
      <c r="BD44" s="201" t="n">
        <v>1</v>
      </c>
      <c r="BE44" s="204" t="n">
        <v>1</v>
      </c>
      <c r="BF44" s="205" t="n">
        <v>0</v>
      </c>
      <c r="BG44" s="208" t="n">
        <v>0</v>
      </c>
      <c r="BH44" s="210" t="n">
        <v>1</v>
      </c>
      <c r="BI44" s="210" t="n">
        <v>2</v>
      </c>
      <c r="BJ44" s="211" t="n">
        <v>0</v>
      </c>
      <c r="BK44" s="211" t="n">
        <v>0</v>
      </c>
      <c r="BL44" s="211" t="n">
        <v>0</v>
      </c>
      <c r="BM44" s="210" t="n">
        <v>1</v>
      </c>
      <c r="BN44" s="215" t="n">
        <v>0</v>
      </c>
      <c r="BO44" s="215" t="n">
        <v>0</v>
      </c>
      <c r="BP44" s="214" t="n">
        <v>1</v>
      </c>
      <c r="BQ44" s="215" t="n">
        <v>0</v>
      </c>
    </row>
    <row r="45">
      <c r="A45" s="22">
        <f>"https://open.spotify.com/playlist/" &amp; C45</f>
        <v/>
      </c>
      <c r="B45" s="1" t="inlineStr">
        <is>
          <t>Tactical Training — Adrenaline &amp; Strength Music 🎯🔥</t>
        </is>
      </c>
      <c r="C45" s="1" t="inlineStr">
        <is>
          <t>6VAvQ8KL96mOWNywSbUF0P</t>
        </is>
      </c>
      <c r="D45" s="3" t="n">
        <v>20</v>
      </c>
      <c r="E45" s="21" t="n">
        <v>0</v>
      </c>
      <c r="F45" s="25" t="n">
        <v>0</v>
      </c>
      <c r="G45" s="25" t="n">
        <v>0</v>
      </c>
      <c r="H45" s="28" t="n">
        <v>1</v>
      </c>
      <c r="I45" s="32" t="n">
        <v>0</v>
      </c>
      <c r="J45" s="74" t="n">
        <v>0</v>
      </c>
      <c r="K45" s="76" t="n">
        <v>0</v>
      </c>
      <c r="L45" s="79" t="n">
        <v>1</v>
      </c>
      <c r="M45" s="83" t="n">
        <v>0</v>
      </c>
      <c r="N45" s="86" t="n">
        <v>0</v>
      </c>
      <c r="O45" s="90" t="n">
        <v>0</v>
      </c>
      <c r="P45" s="92" t="n">
        <v>2</v>
      </c>
      <c r="Q45" s="96" t="n">
        <v>0</v>
      </c>
      <c r="R45" s="99" t="n">
        <v>3</v>
      </c>
      <c r="S45" s="102" t="n">
        <v>0</v>
      </c>
      <c r="T45" s="104" t="n">
        <v>1</v>
      </c>
      <c r="U45" s="108" t="n">
        <v>0</v>
      </c>
      <c r="V45" s="111" t="n">
        <v>0</v>
      </c>
      <c r="W45" s="114" t="n">
        <v>0</v>
      </c>
      <c r="X45" s="117" t="n">
        <v>0</v>
      </c>
      <c r="Y45" s="119" t="n">
        <v>1</v>
      </c>
      <c r="Z45" s="123" t="n">
        <v>0</v>
      </c>
      <c r="AA45" s="127" t="n">
        <v>0</v>
      </c>
      <c r="AB45" s="130" t="n">
        <v>0</v>
      </c>
      <c r="AC45" s="132" t="n">
        <v>2</v>
      </c>
      <c r="AD45" s="135" t="n">
        <v>1</v>
      </c>
      <c r="AE45" s="139" t="n">
        <v>1</v>
      </c>
      <c r="AF45" s="142" t="n">
        <v>0</v>
      </c>
      <c r="AG45" s="145" t="n">
        <v>0</v>
      </c>
      <c r="AH45" s="148" t="n">
        <v>0</v>
      </c>
      <c r="AI45" s="151" t="n">
        <v>0</v>
      </c>
      <c r="AJ45" s="154" t="n">
        <v>0</v>
      </c>
      <c r="AK45" s="154" t="n">
        <v>0</v>
      </c>
      <c r="AL45" s="156" t="n">
        <v>0</v>
      </c>
      <c r="AM45" s="160" t="n">
        <v>0</v>
      </c>
      <c r="AN45" s="162" t="n">
        <v>1</v>
      </c>
      <c r="AO45" s="162" t="n">
        <v>1</v>
      </c>
      <c r="AP45" s="166" t="n">
        <v>0</v>
      </c>
      <c r="AQ45" s="169" t="n">
        <v>0</v>
      </c>
      <c r="AR45" s="172" t="n">
        <v>0</v>
      </c>
      <c r="AS45" s="174" t="n">
        <v>1</v>
      </c>
      <c r="AT45" s="178" t="n">
        <v>0</v>
      </c>
      <c r="AU45" s="178" t="n">
        <v>0</v>
      </c>
      <c r="AV45" s="181" t="n">
        <v>0</v>
      </c>
      <c r="AW45" s="183" t="n">
        <v>0</v>
      </c>
      <c r="AX45" s="183" t="n">
        <v>0</v>
      </c>
      <c r="AY45" s="187" t="n">
        <v>0</v>
      </c>
      <c r="AZ45" s="189" t="n">
        <v>0</v>
      </c>
      <c r="BA45" s="192" t="n">
        <v>0</v>
      </c>
      <c r="BB45" s="196" t="n">
        <v>0</v>
      </c>
      <c r="BC45" s="199" t="n">
        <v>0</v>
      </c>
      <c r="BD45" s="202" t="n">
        <v>0</v>
      </c>
      <c r="BE45" s="205" t="n">
        <v>0</v>
      </c>
      <c r="BF45" s="205" t="n">
        <v>0</v>
      </c>
      <c r="BG45" s="208" t="n">
        <v>0</v>
      </c>
      <c r="BH45" s="211" t="n">
        <v>0</v>
      </c>
      <c r="BI45" s="211" t="n">
        <v>0</v>
      </c>
      <c r="BJ45" s="211" t="n">
        <v>0</v>
      </c>
      <c r="BK45" s="211" t="n">
        <v>0</v>
      </c>
      <c r="BL45" s="211" t="n">
        <v>0</v>
      </c>
      <c r="BM45" s="211" t="n">
        <v>0</v>
      </c>
      <c r="BN45" s="215" t="n">
        <v>0</v>
      </c>
      <c r="BO45" s="215" t="n">
        <v>0</v>
      </c>
      <c r="BP45" s="215" t="n">
        <v>0</v>
      </c>
      <c r="BQ45" s="215" t="n">
        <v>0</v>
      </c>
    </row>
    <row r="46">
      <c r="A46" s="22">
        <f>"https://open.spotify.com/playlist/" &amp; C46</f>
        <v/>
      </c>
      <c r="B46" s="1" t="inlineStr">
        <is>
          <t>WUCHTIGER Laufmusik 180–190 BPM 🔥 Schnelle Songs fürs Running | High Tempo Jogging Playlist</t>
        </is>
      </c>
      <c r="C46" s="1" t="inlineStr">
        <is>
          <t>0xVENjGczy6wn18c0mGwI5</t>
        </is>
      </c>
      <c r="D46" s="3" t="n">
        <v>60</v>
      </c>
      <c r="E46" s="20" t="n">
        <v>1</v>
      </c>
      <c r="F46" s="25" t="n">
        <v>0</v>
      </c>
      <c r="G46" s="25" t="n">
        <v>0</v>
      </c>
      <c r="H46" s="28" t="n">
        <v>2</v>
      </c>
      <c r="I46" s="31" t="n">
        <v>1</v>
      </c>
      <c r="J46" s="74" t="n">
        <v>0</v>
      </c>
      <c r="K46" s="76" t="n">
        <v>0</v>
      </c>
      <c r="L46" s="80" t="n">
        <v>0</v>
      </c>
      <c r="M46" s="82" t="n">
        <v>1</v>
      </c>
      <c r="N46" s="84" t="n">
        <v>4</v>
      </c>
      <c r="O46" s="89" t="n">
        <v>1</v>
      </c>
      <c r="P46" s="93" t="n">
        <v>0</v>
      </c>
      <c r="Q46" s="94" t="n">
        <v>4</v>
      </c>
      <c r="R46" s="99" t="n">
        <v>3</v>
      </c>
      <c r="S46" s="101" t="n">
        <v>3</v>
      </c>
      <c r="T46" s="104" t="n">
        <v>2</v>
      </c>
      <c r="U46" s="108" t="n">
        <v>0</v>
      </c>
      <c r="V46" s="111" t="n">
        <v>0</v>
      </c>
      <c r="W46" s="113" t="n">
        <v>1</v>
      </c>
      <c r="X46" s="116" t="n">
        <v>1</v>
      </c>
      <c r="Y46" s="119" t="n">
        <v>3</v>
      </c>
      <c r="Z46" s="123" t="n">
        <v>0</v>
      </c>
      <c r="AA46" s="126" t="n">
        <v>1</v>
      </c>
      <c r="AB46" s="129" t="n">
        <v>1</v>
      </c>
      <c r="AC46" s="132" t="n">
        <v>1</v>
      </c>
      <c r="AD46" s="136" t="n">
        <v>0</v>
      </c>
      <c r="AE46" s="137" t="n">
        <v>4</v>
      </c>
      <c r="AF46" s="142" t="n">
        <v>0</v>
      </c>
      <c r="AG46" s="144" t="n">
        <v>2</v>
      </c>
      <c r="AH46" s="148" t="n">
        <v>0</v>
      </c>
      <c r="AI46" s="151" t="n">
        <v>0</v>
      </c>
      <c r="AJ46" s="152" t="n">
        <v>1</v>
      </c>
      <c r="AK46" s="154" t="n">
        <v>0</v>
      </c>
      <c r="AL46" s="156" t="n">
        <v>0</v>
      </c>
      <c r="AM46" s="159" t="n">
        <v>1</v>
      </c>
      <c r="AN46" s="162" t="n">
        <v>1</v>
      </c>
      <c r="AO46" s="162" t="n">
        <v>0</v>
      </c>
      <c r="AP46" s="165" t="n">
        <v>1</v>
      </c>
      <c r="AQ46" s="168" t="n">
        <v>1</v>
      </c>
      <c r="AR46" s="172" t="n">
        <v>0</v>
      </c>
      <c r="AS46" s="174" t="n">
        <v>2</v>
      </c>
      <c r="AT46" s="177" t="n">
        <v>1</v>
      </c>
      <c r="AU46" s="177" t="n">
        <v>3</v>
      </c>
      <c r="AV46" s="181" t="n">
        <v>0</v>
      </c>
      <c r="AW46" s="183" t="n">
        <v>0</v>
      </c>
      <c r="AX46" s="183" t="n">
        <v>0</v>
      </c>
      <c r="AY46" s="187" t="n">
        <v>-1</v>
      </c>
      <c r="AZ46" s="189" t="n">
        <v>0</v>
      </c>
      <c r="BA46" s="191" t="n">
        <v>1</v>
      </c>
      <c r="BB46" s="194" t="n">
        <v>1</v>
      </c>
      <c r="BC46" s="199" t="n">
        <v>0</v>
      </c>
      <c r="BD46" s="202" t="n">
        <v>0</v>
      </c>
      <c r="BE46" s="204" t="n">
        <v>2</v>
      </c>
      <c r="BF46" s="205" t="n">
        <v>0</v>
      </c>
      <c r="BG46" s="207" t="n">
        <v>2</v>
      </c>
      <c r="BH46" s="210" t="n">
        <v>3</v>
      </c>
      <c r="BI46" s="211" t="n">
        <v>0</v>
      </c>
      <c r="BJ46" s="211" t="n">
        <v>0</v>
      </c>
      <c r="BK46" s="211" t="n">
        <v>0</v>
      </c>
      <c r="BL46" s="210" t="n">
        <v>1</v>
      </c>
      <c r="BM46" s="211" t="n">
        <v>0</v>
      </c>
      <c r="BN46" s="215" t="n">
        <v>0</v>
      </c>
      <c r="BO46" s="215" t="n">
        <v>0</v>
      </c>
      <c r="BP46" s="215" t="n">
        <v>0</v>
      </c>
      <c r="BQ46" s="215" t="n">
        <v>0</v>
      </c>
    </row>
    <row r="47">
      <c r="A47" s="22">
        <f>"https://open.spotify.com/playlist/" &amp; C47</f>
        <v/>
      </c>
      <c r="B47" s="1" t="inlineStr">
        <is>
          <t>YOGA INSTRUMENTAL MUSIC 2026 🌸 CHILL VIBES 🌿 RELAXING FLOW</t>
        </is>
      </c>
      <c r="C47" s="1" t="inlineStr">
        <is>
          <t>3yiU4BHZz1Pf3DEyRAZ9fj</t>
        </is>
      </c>
      <c r="D47" s="3" t="n">
        <v>102</v>
      </c>
      <c r="E47" s="20" t="n">
        <v>2</v>
      </c>
      <c r="F47" s="26" t="n">
        <v>1</v>
      </c>
      <c r="G47" s="26" t="n">
        <v>2</v>
      </c>
      <c r="H47" s="29" t="n">
        <v>0</v>
      </c>
      <c r="I47" s="32" t="n">
        <v>0</v>
      </c>
      <c r="J47" s="74" t="n">
        <v>0</v>
      </c>
      <c r="K47" s="76" t="n">
        <v>0</v>
      </c>
      <c r="L47" s="80" t="n">
        <v>0</v>
      </c>
      <c r="M47" s="83" t="n">
        <v>0</v>
      </c>
      <c r="N47" s="85" t="n">
        <v>1</v>
      </c>
      <c r="O47" s="89" t="n">
        <v>2</v>
      </c>
      <c r="P47" s="92" t="n">
        <v>1</v>
      </c>
      <c r="Q47" s="94" t="n">
        <v>4</v>
      </c>
      <c r="R47" s="97" t="n">
        <v>4</v>
      </c>
      <c r="S47" s="100" t="n">
        <v>4</v>
      </c>
      <c r="T47" s="104" t="n">
        <v>2</v>
      </c>
      <c r="U47" s="107" t="n">
        <v>1</v>
      </c>
      <c r="V47" s="110" t="n">
        <v>2</v>
      </c>
      <c r="W47" s="113" t="n">
        <v>2</v>
      </c>
      <c r="X47" s="117" t="n">
        <v>0</v>
      </c>
      <c r="Y47" s="118" t="n">
        <v>9</v>
      </c>
      <c r="Z47" s="121" t="n">
        <v>2</v>
      </c>
      <c r="AA47" s="126" t="n">
        <v>1</v>
      </c>
      <c r="AB47" s="129" t="n">
        <v>1</v>
      </c>
      <c r="AC47" s="133" t="n">
        <v>0</v>
      </c>
      <c r="AD47" s="134" t="n">
        <v>7</v>
      </c>
      <c r="AE47" s="139" t="n">
        <v>1</v>
      </c>
      <c r="AF47" s="140" t="n">
        <v>4</v>
      </c>
      <c r="AG47" s="144" t="n">
        <v>3</v>
      </c>
      <c r="AH47" s="147" t="n">
        <v>2</v>
      </c>
      <c r="AI47" s="149" t="n">
        <v>4</v>
      </c>
      <c r="AJ47" s="152" t="n">
        <v>2</v>
      </c>
      <c r="AK47" s="152" t="n">
        <v>2</v>
      </c>
      <c r="AL47" s="157" t="n">
        <v>1</v>
      </c>
      <c r="AM47" s="159" t="n">
        <v>1</v>
      </c>
      <c r="AN47" s="163" t="n">
        <v>0</v>
      </c>
      <c r="AO47" s="163" t="n">
        <v>0</v>
      </c>
      <c r="AP47" s="165" t="n">
        <v>3</v>
      </c>
      <c r="AQ47" s="167" t="n">
        <v>4</v>
      </c>
      <c r="AR47" s="170" t="n">
        <v>4</v>
      </c>
      <c r="AS47" s="174" t="n">
        <v>2</v>
      </c>
      <c r="AT47" s="177" t="n">
        <v>3</v>
      </c>
      <c r="AU47" s="178" t="n">
        <v>0</v>
      </c>
      <c r="AV47" s="181" t="n">
        <v>0</v>
      </c>
      <c r="AW47" s="183" t="n">
        <v>0</v>
      </c>
      <c r="AX47" s="184" t="n">
        <v>1</v>
      </c>
      <c r="AY47" s="186" t="n">
        <v>1</v>
      </c>
      <c r="AZ47" s="190" t="n">
        <v>1</v>
      </c>
      <c r="BA47" s="192" t="n">
        <v>0</v>
      </c>
      <c r="BB47" s="194" t="n">
        <v>2</v>
      </c>
      <c r="BC47" s="198" t="n">
        <v>1</v>
      </c>
      <c r="BD47" s="202" t="n">
        <v>0</v>
      </c>
      <c r="BE47" s="204" t="n">
        <v>1</v>
      </c>
      <c r="BF47" s="205" t="n">
        <v>0</v>
      </c>
      <c r="BG47" s="206" t="n">
        <v>5</v>
      </c>
      <c r="BH47" s="211" t="n">
        <v>0</v>
      </c>
      <c r="BI47" s="210" t="n">
        <v>1</v>
      </c>
      <c r="BJ47" s="211" t="n">
        <v>0</v>
      </c>
      <c r="BK47" s="210" t="n">
        <v>2</v>
      </c>
      <c r="BL47" s="210" t="n">
        <v>1</v>
      </c>
      <c r="BM47" s="211" t="n">
        <v>0</v>
      </c>
      <c r="BN47" s="215" t="n">
        <v>0</v>
      </c>
      <c r="BO47" s="215" t="n">
        <v>-1</v>
      </c>
      <c r="BP47" s="215" t="n">
        <v>0</v>
      </c>
      <c r="BQ47" s="215" t="n">
        <v>-1</v>
      </c>
    </row>
    <row r="48">
      <c r="A48" s="22">
        <f>"https://open.spotify.com/playlist/" &amp; C48</f>
        <v/>
      </c>
      <c r="B48" s="1" t="inlineStr">
        <is>
          <t>Bulking Season 2026 | Heavy Lifting, Resistance &amp; Mass Gains 💪🔥</t>
        </is>
      </c>
      <c r="C48" s="1" t="inlineStr">
        <is>
          <t>0PrjcgNUkHhRsnxEvr8jIf</t>
        </is>
      </c>
      <c r="D48" s="3" t="n">
        <v>17</v>
      </c>
      <c r="E48" s="21" t="n">
        <v>0</v>
      </c>
      <c r="F48" s="25" t="n">
        <v>0</v>
      </c>
      <c r="G48" s="26" t="n">
        <v>2</v>
      </c>
      <c r="H48" s="28" t="n">
        <v>1</v>
      </c>
      <c r="I48" s="32" t="n">
        <v>0</v>
      </c>
      <c r="J48" s="73" t="n">
        <v>1</v>
      </c>
      <c r="K48" s="76" t="n">
        <v>0</v>
      </c>
      <c r="L48" s="80" t="n">
        <v>0</v>
      </c>
      <c r="M48" s="83" t="n">
        <v>0</v>
      </c>
      <c r="N48" s="85" t="n">
        <v>1</v>
      </c>
      <c r="O48" s="90" t="n">
        <v>0</v>
      </c>
      <c r="P48" s="92" t="n">
        <v>2</v>
      </c>
      <c r="Q48" s="95" t="n">
        <v>1</v>
      </c>
      <c r="R48" s="98" t="n">
        <v>0</v>
      </c>
      <c r="S48" s="102" t="n">
        <v>0</v>
      </c>
      <c r="T48" s="105" t="n">
        <v>0</v>
      </c>
      <c r="U48" s="108" t="n">
        <v>0</v>
      </c>
      <c r="V48" s="111" t="n">
        <v>0</v>
      </c>
      <c r="W48" s="114" t="n">
        <v>0</v>
      </c>
      <c r="X48" s="116" t="n">
        <v>1</v>
      </c>
      <c r="Y48" s="120" t="n">
        <v>0</v>
      </c>
      <c r="Z48" s="123" t="n">
        <v>0</v>
      </c>
      <c r="AA48" s="127" t="n">
        <v>0</v>
      </c>
      <c r="AB48" s="130" t="n">
        <v>0</v>
      </c>
      <c r="AC48" s="132" t="n">
        <v>1</v>
      </c>
      <c r="AD48" s="136" t="n">
        <v>-1</v>
      </c>
      <c r="AE48" s="138" t="n">
        <v>0</v>
      </c>
      <c r="AF48" s="142" t="n">
        <v>0</v>
      </c>
      <c r="AG48" s="145" t="n">
        <v>0</v>
      </c>
      <c r="AH48" s="148" t="n">
        <v>0</v>
      </c>
      <c r="AI48" s="151" t="n">
        <v>0</v>
      </c>
      <c r="AJ48" s="152" t="n">
        <v>1</v>
      </c>
      <c r="AK48" s="152" t="n">
        <v>1</v>
      </c>
      <c r="AL48" s="156" t="n">
        <v>0</v>
      </c>
      <c r="AM48" s="160" t="n">
        <v>0</v>
      </c>
      <c r="AN48" s="163" t="n">
        <v>0</v>
      </c>
      <c r="AO48" s="163" t="n">
        <v>0</v>
      </c>
      <c r="AP48" s="165" t="n">
        <v>1</v>
      </c>
      <c r="AQ48" s="169" t="n">
        <v>0</v>
      </c>
      <c r="AR48" s="172" t="n">
        <v>0</v>
      </c>
      <c r="AS48" s="175" t="n">
        <v>0</v>
      </c>
      <c r="AT48" s="178" t="n">
        <v>0</v>
      </c>
      <c r="AU48" s="178" t="n">
        <v>0</v>
      </c>
      <c r="AV48" s="181" t="n">
        <v>0</v>
      </c>
      <c r="AW48" s="183" t="n">
        <v>0</v>
      </c>
      <c r="AX48" s="183" t="n">
        <v>0</v>
      </c>
      <c r="AY48" s="187" t="n">
        <v>0</v>
      </c>
      <c r="AZ48" s="189" t="n">
        <v>0</v>
      </c>
      <c r="BA48" s="192" t="n">
        <v>0</v>
      </c>
      <c r="BB48" s="196" t="n">
        <v>0</v>
      </c>
      <c r="BC48" s="199" t="n">
        <v>0</v>
      </c>
      <c r="BD48" s="202" t="n">
        <v>0</v>
      </c>
      <c r="BE48" s="205" t="n">
        <v>0</v>
      </c>
      <c r="BF48" s="205" t="n">
        <v>0</v>
      </c>
      <c r="BG48" s="207" t="n">
        <v>1</v>
      </c>
      <c r="BH48" s="211" t="n">
        <v>0</v>
      </c>
      <c r="BI48" s="211" t="n">
        <v>0</v>
      </c>
      <c r="BJ48" s="211" t="n">
        <v>0</v>
      </c>
      <c r="BK48" s="211" t="n">
        <v>0</v>
      </c>
      <c r="BL48" s="211" t="n">
        <v>0</v>
      </c>
      <c r="BM48" s="211" t="n">
        <v>0</v>
      </c>
      <c r="BN48" s="215" t="n">
        <v>0</v>
      </c>
      <c r="BO48" s="215" t="n">
        <v>0</v>
      </c>
      <c r="BP48" s="215" t="n">
        <v>0</v>
      </c>
      <c r="BQ48" s="215" t="n">
        <v>0</v>
      </c>
    </row>
    <row r="49">
      <c r="A49" s="22">
        <f>"https://open.spotify.com/playlist/" &amp; C49</f>
        <v/>
      </c>
      <c r="B49" s="1" t="inlineStr">
        <is>
          <t>INTENSE Beach Workout 2026 🔥 | Summer Cardio &amp; High Energy Training</t>
        </is>
      </c>
      <c r="C49" s="1" t="inlineStr">
        <is>
          <t>3GA5RHVkWtOOmtx3Jry0Sg</t>
        </is>
      </c>
      <c r="D49" s="3" t="n">
        <v>39</v>
      </c>
      <c r="E49" s="21" t="n">
        <v>0</v>
      </c>
      <c r="F49" s="25" t="n">
        <v>0</v>
      </c>
      <c r="G49" s="26" t="n">
        <v>1</v>
      </c>
      <c r="H49" s="29" t="n">
        <v>0</v>
      </c>
      <c r="I49" s="32" t="n">
        <v>0</v>
      </c>
      <c r="J49" s="74" t="n">
        <v>0</v>
      </c>
      <c r="K49" s="77" t="n">
        <v>1</v>
      </c>
      <c r="L49" s="79" t="n">
        <v>1</v>
      </c>
      <c r="M49" s="83" t="n">
        <v>0</v>
      </c>
      <c r="N49" s="86" t="n">
        <v>0</v>
      </c>
      <c r="O49" s="89" t="n">
        <v>2</v>
      </c>
      <c r="P49" s="92" t="n">
        <v>1</v>
      </c>
      <c r="Q49" s="95" t="n">
        <v>1</v>
      </c>
      <c r="R49" s="98" t="n">
        <v>0</v>
      </c>
      <c r="S49" s="102" t="n">
        <v>0</v>
      </c>
      <c r="T49" s="104" t="n">
        <v>1</v>
      </c>
      <c r="U49" s="107" t="n">
        <v>1</v>
      </c>
      <c r="V49" s="111" t="n">
        <v>0</v>
      </c>
      <c r="W49" s="113" t="n">
        <v>1</v>
      </c>
      <c r="X49" s="116" t="n">
        <v>2</v>
      </c>
      <c r="Y49" s="120" t="n">
        <v>0</v>
      </c>
      <c r="Z49" s="121" t="n">
        <v>1</v>
      </c>
      <c r="AA49" s="127" t="n">
        <v>0</v>
      </c>
      <c r="AB49" s="129" t="n">
        <v>2</v>
      </c>
      <c r="AC49" s="132" t="n">
        <v>1</v>
      </c>
      <c r="AD49" s="136" t="n">
        <v>0</v>
      </c>
      <c r="AE49" s="139" t="n">
        <v>1</v>
      </c>
      <c r="AF49" s="142" t="n">
        <v>0</v>
      </c>
      <c r="AG49" s="145" t="n">
        <v>0</v>
      </c>
      <c r="AH49" s="148" t="n">
        <v>0</v>
      </c>
      <c r="AI49" s="149" t="n">
        <v>5</v>
      </c>
      <c r="AJ49" s="154" t="n">
        <v>0</v>
      </c>
      <c r="AK49" s="152" t="n">
        <v>2</v>
      </c>
      <c r="AL49" s="157" t="n">
        <v>1</v>
      </c>
      <c r="AM49" s="160" t="n">
        <v>0</v>
      </c>
      <c r="AN49" s="162" t="n">
        <v>1</v>
      </c>
      <c r="AO49" s="162" t="n">
        <v>0</v>
      </c>
      <c r="AP49" s="166" t="n">
        <v>0</v>
      </c>
      <c r="AQ49" s="168" t="n">
        <v>1</v>
      </c>
      <c r="AR49" s="171" t="n">
        <v>1</v>
      </c>
      <c r="AS49" s="174" t="n">
        <v>1</v>
      </c>
      <c r="AT49" s="178" t="n">
        <v>0</v>
      </c>
      <c r="AU49" s="178" t="n">
        <v>0</v>
      </c>
      <c r="AV49" s="181" t="n">
        <v>0</v>
      </c>
      <c r="AW49" s="183" t="n">
        <v>0</v>
      </c>
      <c r="AX49" s="183" t="n">
        <v>0</v>
      </c>
      <c r="AY49" s="187" t="n">
        <v>0</v>
      </c>
      <c r="AZ49" s="189" t="n">
        <v>0</v>
      </c>
      <c r="BA49" s="192" t="n">
        <v>0</v>
      </c>
      <c r="BB49" s="194" t="n">
        <v>1</v>
      </c>
      <c r="BC49" s="199" t="n">
        <v>0</v>
      </c>
      <c r="BD49" s="201" t="n">
        <v>1</v>
      </c>
      <c r="BE49" s="205" t="n">
        <v>0</v>
      </c>
      <c r="BF49" s="205" t="n">
        <v>0</v>
      </c>
      <c r="BG49" s="208" t="n">
        <v>0</v>
      </c>
      <c r="BH49" s="211" t="n">
        <v>0</v>
      </c>
      <c r="BI49" s="210" t="n">
        <v>2</v>
      </c>
      <c r="BJ49" s="211" t="n">
        <v>0</v>
      </c>
      <c r="BK49" s="211" t="n">
        <v>0</v>
      </c>
      <c r="BL49" s="210" t="n">
        <v>1</v>
      </c>
      <c r="BM49" s="211" t="n">
        <v>0</v>
      </c>
      <c r="BN49" s="215" t="n">
        <v>0</v>
      </c>
      <c r="BO49" s="214" t="n">
        <v>1</v>
      </c>
      <c r="BP49" s="215" t="n">
        <v>0</v>
      </c>
      <c r="BQ49" s="215" t="n">
        <v>0</v>
      </c>
    </row>
    <row r="50">
      <c r="A50" s="22">
        <f>"https://open.spotify.com/playlist/" &amp; C50</f>
        <v/>
      </c>
      <c r="B50" s="1" t="inlineStr">
        <is>
          <t>AFRO BOUNCE 2026 | BADMAN RIDDIM | Afro Vibes | Dancehall Queen 🔥</t>
        </is>
      </c>
      <c r="C50" s="1" t="inlineStr">
        <is>
          <t>2dJASLQSptOKMxj4HvlYEZ</t>
        </is>
      </c>
      <c r="D50" s="3" t="n">
        <v>44</v>
      </c>
      <c r="E50" s="21" t="n">
        <v>0</v>
      </c>
      <c r="F50" s="25" t="n">
        <v>0</v>
      </c>
      <c r="G50" s="25" t="n">
        <v>0</v>
      </c>
      <c r="H50" s="28" t="n">
        <v>1</v>
      </c>
      <c r="I50" s="31" t="n">
        <v>1</v>
      </c>
      <c r="J50" s="74" t="n">
        <v>0</v>
      </c>
      <c r="K50" s="76" t="n">
        <v>0</v>
      </c>
      <c r="L50" s="80" t="n">
        <v>0</v>
      </c>
      <c r="M50" s="83" t="n">
        <v>0</v>
      </c>
      <c r="N50" s="85" t="n">
        <v>1</v>
      </c>
      <c r="O50" s="89" t="n">
        <v>1</v>
      </c>
      <c r="P50" s="92" t="n">
        <v>1</v>
      </c>
      <c r="Q50" s="96" t="n">
        <v>0</v>
      </c>
      <c r="R50" s="99" t="n">
        <v>3</v>
      </c>
      <c r="S50" s="102" t="n">
        <v>0</v>
      </c>
      <c r="T50" s="105" t="n">
        <v>-1</v>
      </c>
      <c r="U50" s="107" t="n">
        <v>1</v>
      </c>
      <c r="V50" s="110" t="n">
        <v>1</v>
      </c>
      <c r="W50" s="113" t="n">
        <v>1</v>
      </c>
      <c r="X50" s="117" t="n">
        <v>0</v>
      </c>
      <c r="Y50" s="120" t="n">
        <v>0</v>
      </c>
      <c r="Z50" s="123" t="n">
        <v>0</v>
      </c>
      <c r="AA50" s="127" t="n">
        <v>0</v>
      </c>
      <c r="AB50" s="129" t="n">
        <v>1</v>
      </c>
      <c r="AC50" s="132" t="n">
        <v>2</v>
      </c>
      <c r="AD50" s="135" t="n">
        <v>1</v>
      </c>
      <c r="AE50" s="138" t="n">
        <v>0</v>
      </c>
      <c r="AF50" s="141" t="n">
        <v>1</v>
      </c>
      <c r="AG50" s="144" t="n">
        <v>2</v>
      </c>
      <c r="AH50" s="147" t="n">
        <v>1</v>
      </c>
      <c r="AI50" s="150" t="n">
        <v>1</v>
      </c>
      <c r="AJ50" s="154" t="n">
        <v>0</v>
      </c>
      <c r="AK50" s="152" t="n">
        <v>1</v>
      </c>
      <c r="AL50" s="156" t="n">
        <v>0</v>
      </c>
      <c r="AM50" s="160" t="n">
        <v>0</v>
      </c>
      <c r="AN50" s="161" t="n">
        <v>2</v>
      </c>
      <c r="AO50" s="161" t="n">
        <v>2</v>
      </c>
      <c r="AP50" s="165" t="n">
        <v>2</v>
      </c>
      <c r="AQ50" s="168" t="n">
        <v>1</v>
      </c>
      <c r="AR50" s="171" t="n">
        <v>1</v>
      </c>
      <c r="AS50" s="174" t="n">
        <v>1</v>
      </c>
      <c r="AT50" s="177" t="n">
        <v>2</v>
      </c>
      <c r="AU50" s="178" t="n">
        <v>0</v>
      </c>
      <c r="AV50" s="181" t="n">
        <v>0</v>
      </c>
      <c r="AW50" s="183" t="n">
        <v>0</v>
      </c>
      <c r="AX50" s="184" t="n">
        <v>1</v>
      </c>
      <c r="AY50" s="186" t="n">
        <v>1</v>
      </c>
      <c r="AZ50" s="189" t="n">
        <v>0</v>
      </c>
      <c r="BA50" s="192" t="n">
        <v>0</v>
      </c>
      <c r="BB50" s="196" t="n">
        <v>0</v>
      </c>
      <c r="BC50" s="199" t="n">
        <v>0</v>
      </c>
      <c r="BD50" s="202" t="n">
        <v>0</v>
      </c>
      <c r="BE50" s="205" t="n">
        <v>0</v>
      </c>
      <c r="BF50" s="204" t="n">
        <v>1</v>
      </c>
      <c r="BG50" s="207" t="n">
        <v>2</v>
      </c>
      <c r="BH50" s="210" t="n">
        <v>1</v>
      </c>
      <c r="BI50" s="211" t="n">
        <v>0</v>
      </c>
      <c r="BJ50" s="211" t="n">
        <v>0</v>
      </c>
      <c r="BK50" s="211" t="n">
        <v>0</v>
      </c>
      <c r="BL50" s="211" t="n">
        <v>0</v>
      </c>
      <c r="BM50" s="211" t="n">
        <v>0</v>
      </c>
      <c r="BN50" s="214" t="n">
        <v>1</v>
      </c>
      <c r="BO50" s="214" t="n">
        <v>1</v>
      </c>
      <c r="BP50" s="215" t="n">
        <v>0</v>
      </c>
      <c r="BQ50" s="215" t="n">
        <v>0</v>
      </c>
    </row>
    <row r="51">
      <c r="A51" s="22">
        <f>"https://open.spotify.com/playlist/" &amp; C51</f>
        <v/>
      </c>
      <c r="B51" s="1" t="inlineStr">
        <is>
          <t>KRACHTIG Hardlopen 160-170 BPM 🔥 Running Muziek 160–170 BPM | Tempo Cardio Run Playlist</t>
        </is>
      </c>
      <c r="C51" s="1" t="inlineStr">
        <is>
          <t>1zEQkr6KKspW3utEX8S6wn</t>
        </is>
      </c>
      <c r="D51" s="3" t="n">
        <v>76</v>
      </c>
      <c r="E51" s="21" t="n">
        <v>0</v>
      </c>
      <c r="F51" s="26" t="n">
        <v>1</v>
      </c>
      <c r="G51" s="25" t="n">
        <v>0</v>
      </c>
      <c r="H51" s="28" t="n">
        <v>2</v>
      </c>
      <c r="I51" s="31" t="n">
        <v>1</v>
      </c>
      <c r="J51" s="73" t="n">
        <v>1</v>
      </c>
      <c r="K51" s="77" t="n">
        <v>1</v>
      </c>
      <c r="L51" s="80" t="n">
        <v>0</v>
      </c>
      <c r="M51" s="82" t="n">
        <v>1</v>
      </c>
      <c r="N51" s="85" t="n">
        <v>2</v>
      </c>
      <c r="O51" s="88" t="n">
        <v>4</v>
      </c>
      <c r="P51" s="91" t="n">
        <v>4</v>
      </c>
      <c r="Q51" s="95" t="n">
        <v>2</v>
      </c>
      <c r="R51" s="99" t="n">
        <v>3</v>
      </c>
      <c r="S51" s="100" t="n">
        <v>4</v>
      </c>
      <c r="T51" s="104" t="n">
        <v>2</v>
      </c>
      <c r="U51" s="108" t="n">
        <v>0</v>
      </c>
      <c r="V51" s="110" t="n">
        <v>2</v>
      </c>
      <c r="W51" s="114" t="n">
        <v>0</v>
      </c>
      <c r="X51" s="116" t="n">
        <v>1</v>
      </c>
      <c r="Y51" s="119" t="n">
        <v>1</v>
      </c>
      <c r="Z51" s="121" t="n">
        <v>3</v>
      </c>
      <c r="AA51" s="127" t="n">
        <v>0</v>
      </c>
      <c r="AB51" s="129" t="n">
        <v>1</v>
      </c>
      <c r="AC51" s="132" t="n">
        <v>1</v>
      </c>
      <c r="AD51" s="135" t="n">
        <v>3</v>
      </c>
      <c r="AE51" s="139" t="n">
        <v>1</v>
      </c>
      <c r="AF51" s="141" t="n">
        <v>1</v>
      </c>
      <c r="AG51" s="144" t="n">
        <v>2</v>
      </c>
      <c r="AH51" s="148" t="n">
        <v>0</v>
      </c>
      <c r="AI51" s="150" t="n">
        <v>1</v>
      </c>
      <c r="AJ51" s="154" t="n">
        <v>0</v>
      </c>
      <c r="AK51" s="152" t="n">
        <v>2</v>
      </c>
      <c r="AL51" s="157" t="n">
        <v>1</v>
      </c>
      <c r="AM51" s="160" t="n">
        <v>0</v>
      </c>
      <c r="AN51" s="161" t="n">
        <v>3</v>
      </c>
      <c r="AO51" s="161" t="n">
        <v>2</v>
      </c>
      <c r="AP51" s="165" t="n">
        <v>2</v>
      </c>
      <c r="AQ51" s="168" t="n">
        <v>1</v>
      </c>
      <c r="AR51" s="171" t="n">
        <v>1</v>
      </c>
      <c r="AS51" s="175" t="n">
        <v>0</v>
      </c>
      <c r="AT51" s="177" t="n">
        <v>2</v>
      </c>
      <c r="AU51" s="178" t="n">
        <v>0</v>
      </c>
      <c r="AV51" s="180" t="n">
        <v>2</v>
      </c>
      <c r="AW51" s="184" t="n">
        <v>1</v>
      </c>
      <c r="AX51" s="183" t="n">
        <v>0</v>
      </c>
      <c r="AY51" s="186" t="n">
        <v>1</v>
      </c>
      <c r="AZ51" s="190" t="n">
        <v>1</v>
      </c>
      <c r="BA51" s="191" t="n">
        <v>1</v>
      </c>
      <c r="BB51" s="196" t="n">
        <v>0</v>
      </c>
      <c r="BC51" s="198" t="n">
        <v>1</v>
      </c>
      <c r="BD51" s="202" t="n">
        <v>0</v>
      </c>
      <c r="BE51" s="204" t="n">
        <v>1</v>
      </c>
      <c r="BF51" s="205" t="n">
        <v>0</v>
      </c>
      <c r="BG51" s="207" t="n">
        <v>1</v>
      </c>
      <c r="BH51" s="210" t="n">
        <v>1</v>
      </c>
      <c r="BI51" s="211" t="n">
        <v>0</v>
      </c>
      <c r="BJ51" s="211" t="n">
        <v>0</v>
      </c>
      <c r="BK51" s="211" t="n">
        <v>0</v>
      </c>
      <c r="BL51" s="210" t="n">
        <v>1</v>
      </c>
      <c r="BM51" s="211" t="n">
        <v>0</v>
      </c>
      <c r="BN51" s="215" t="n">
        <v>0</v>
      </c>
      <c r="BO51" s="215" t="n">
        <v>0</v>
      </c>
      <c r="BP51" s="214" t="n">
        <v>2</v>
      </c>
      <c r="BQ51" s="215" t="n">
        <v>0</v>
      </c>
    </row>
    <row r="52">
      <c r="A52" s="22">
        <f>"https://open.spotify.com/playlist/" &amp; C52</f>
        <v/>
      </c>
      <c r="B52" s="1" t="inlineStr">
        <is>
          <t>TUFF Amapiano Afrobeats Riddim | Pon Di Floor | Afro Bashmen 🔥</t>
        </is>
      </c>
      <c r="C52" s="1" t="inlineStr">
        <is>
          <t>2PxSWgKDKUgczhcacJ7FjQ</t>
        </is>
      </c>
      <c r="D52" s="3" t="n">
        <v>34</v>
      </c>
      <c r="E52" s="21" t="n">
        <v>0</v>
      </c>
      <c r="F52" s="26" t="n">
        <v>1</v>
      </c>
      <c r="G52" s="26" t="n">
        <v>2</v>
      </c>
      <c r="H52" s="28" t="n">
        <v>1</v>
      </c>
      <c r="I52" s="31" t="n">
        <v>2</v>
      </c>
      <c r="J52" s="72" t="n">
        <v>5</v>
      </c>
      <c r="K52" s="76" t="n">
        <v>0</v>
      </c>
      <c r="L52" s="79" t="n">
        <v>1</v>
      </c>
      <c r="M52" s="83" t="n">
        <v>0</v>
      </c>
      <c r="N52" s="86" t="n">
        <v>-1</v>
      </c>
      <c r="O52" s="90" t="n">
        <v>-1</v>
      </c>
      <c r="P52" s="92" t="n">
        <v>2</v>
      </c>
      <c r="Q52" s="96" t="n">
        <v>0</v>
      </c>
      <c r="R52" s="99" t="n">
        <v>3</v>
      </c>
      <c r="S52" s="101" t="n">
        <v>1</v>
      </c>
      <c r="T52" s="104" t="n">
        <v>1</v>
      </c>
      <c r="U52" s="108" t="n">
        <v>0</v>
      </c>
      <c r="V52" s="111" t="n">
        <v>0</v>
      </c>
      <c r="W52" s="114" t="n">
        <v>0</v>
      </c>
      <c r="X52" s="117" t="n">
        <v>0</v>
      </c>
      <c r="Y52" s="119" t="n">
        <v>1</v>
      </c>
      <c r="Z52" s="123" t="n">
        <v>0</v>
      </c>
      <c r="AA52" s="127" t="n">
        <v>0</v>
      </c>
      <c r="AB52" s="129" t="n">
        <v>1</v>
      </c>
      <c r="AC52" s="133" t="n">
        <v>-1</v>
      </c>
      <c r="AD52" s="136" t="n">
        <v>0</v>
      </c>
      <c r="AE52" s="139" t="n">
        <v>3</v>
      </c>
      <c r="AF52" s="141" t="n">
        <v>1</v>
      </c>
      <c r="AG52" s="145" t="n">
        <v>0</v>
      </c>
      <c r="AH52" s="147" t="n">
        <v>1</v>
      </c>
      <c r="AI52" s="150" t="n">
        <v>1</v>
      </c>
      <c r="AJ52" s="154" t="n">
        <v>0</v>
      </c>
      <c r="AK52" s="154" t="n">
        <v>0</v>
      </c>
      <c r="AL52" s="156" t="n">
        <v>0</v>
      </c>
      <c r="AM52" s="159" t="n">
        <v>2</v>
      </c>
      <c r="AN52" s="162" t="n">
        <v>1</v>
      </c>
      <c r="AO52" s="162" t="n">
        <v>0</v>
      </c>
      <c r="AP52" s="166" t="n">
        <v>0</v>
      </c>
      <c r="AQ52" s="169" t="n">
        <v>0</v>
      </c>
      <c r="AR52" s="171" t="n">
        <v>1</v>
      </c>
      <c r="AS52" s="174" t="n">
        <v>1</v>
      </c>
      <c r="AT52" s="177" t="n">
        <v>1</v>
      </c>
      <c r="AU52" s="178" t="n">
        <v>0</v>
      </c>
      <c r="AV52" s="180" t="n">
        <v>1</v>
      </c>
      <c r="AW52" s="183" t="n">
        <v>0</v>
      </c>
      <c r="AX52" s="183" t="n">
        <v>0</v>
      </c>
      <c r="AY52" s="187" t="n">
        <v>0</v>
      </c>
      <c r="AZ52" s="189" t="n">
        <v>0</v>
      </c>
      <c r="BA52" s="192" t="n">
        <v>0</v>
      </c>
      <c r="BB52" s="196" t="n">
        <v>-1</v>
      </c>
      <c r="BC52" s="199" t="n">
        <v>0</v>
      </c>
      <c r="BD52" s="202" t="n">
        <v>0</v>
      </c>
      <c r="BE52" s="205" t="n">
        <v>0</v>
      </c>
      <c r="BF52" s="205" t="n">
        <v>0</v>
      </c>
      <c r="BG52" s="208" t="n">
        <v>0</v>
      </c>
      <c r="BH52" s="211" t="n">
        <v>0</v>
      </c>
      <c r="BI52" s="210" t="n">
        <v>1</v>
      </c>
      <c r="BJ52" s="211" t="n">
        <v>0</v>
      </c>
      <c r="BK52" s="211" t="n">
        <v>0</v>
      </c>
      <c r="BL52" s="211" t="n">
        <v>0</v>
      </c>
      <c r="BM52" s="211" t="n">
        <v>0</v>
      </c>
      <c r="BN52" s="215" t="n">
        <v>0</v>
      </c>
      <c r="BO52" s="215" t="n">
        <v>0</v>
      </c>
      <c r="BP52" s="215" t="n">
        <v>0</v>
      </c>
      <c r="BQ52" s="215" t="n">
        <v>0</v>
      </c>
    </row>
    <row r="53">
      <c r="A53" s="22">
        <f>"https://open.spotify.com/playlist/" &amp; C53</f>
        <v/>
      </c>
      <c r="B53" s="1" t="inlineStr">
        <is>
          <t>EPIC EDM Summer 2026 Hits 🔥 | 140–150 BPM Festival Energy</t>
        </is>
      </c>
      <c r="C53" s="1" t="inlineStr">
        <is>
          <t>6KDttfiKSzbNJJaACQ22mc</t>
        </is>
      </c>
      <c r="D53" s="3" t="n">
        <v>68</v>
      </c>
      <c r="E53" s="21" t="n">
        <v>0</v>
      </c>
      <c r="F53" s="25" t="n">
        <v>0</v>
      </c>
      <c r="G53" s="25" t="n">
        <v>0</v>
      </c>
      <c r="H53" s="28" t="n">
        <v>2</v>
      </c>
      <c r="I53" s="32" t="n">
        <v>0</v>
      </c>
      <c r="J53" s="73" t="n">
        <v>1</v>
      </c>
      <c r="K53" s="76" t="n">
        <v>0</v>
      </c>
      <c r="L53" s="80" t="n">
        <v>0</v>
      </c>
      <c r="M53" s="82" t="n">
        <v>1</v>
      </c>
      <c r="N53" s="86" t="n">
        <v>0</v>
      </c>
      <c r="O53" s="89" t="n">
        <v>1</v>
      </c>
      <c r="P53" s="93" t="n">
        <v>-1</v>
      </c>
      <c r="Q53" s="95" t="n">
        <v>1</v>
      </c>
      <c r="R53" s="99" t="n">
        <v>1</v>
      </c>
      <c r="S53" s="102" t="n">
        <v>0</v>
      </c>
      <c r="T53" s="104" t="n">
        <v>1</v>
      </c>
      <c r="U53" s="107" t="n">
        <v>1</v>
      </c>
      <c r="V53" s="111" t="n">
        <v>0</v>
      </c>
      <c r="W53" s="114" t="n">
        <v>0</v>
      </c>
      <c r="X53" s="117" t="n">
        <v>0</v>
      </c>
      <c r="Y53" s="119" t="n">
        <v>3</v>
      </c>
      <c r="Z53" s="123" t="n">
        <v>0</v>
      </c>
      <c r="AA53" s="126" t="n">
        <v>2</v>
      </c>
      <c r="AB53" s="129" t="n">
        <v>2</v>
      </c>
      <c r="AC53" s="131" t="n">
        <v>4</v>
      </c>
      <c r="AD53" s="135" t="n">
        <v>2</v>
      </c>
      <c r="AE53" s="139" t="n">
        <v>1</v>
      </c>
      <c r="AF53" s="142" t="n">
        <v>0</v>
      </c>
      <c r="AG53" s="145" t="n">
        <v>0</v>
      </c>
      <c r="AH53" s="147" t="n">
        <v>1</v>
      </c>
      <c r="AI53" s="151" t="n">
        <v>0</v>
      </c>
      <c r="AJ53" s="154" t="n">
        <v>0</v>
      </c>
      <c r="AK53" s="153" t="n">
        <v>4</v>
      </c>
      <c r="AL53" s="156" t="n">
        <v>0</v>
      </c>
      <c r="AM53" s="158" t="n">
        <v>4</v>
      </c>
      <c r="AN53" s="161" t="n">
        <v>2</v>
      </c>
      <c r="AO53" s="161" t="n">
        <v>2</v>
      </c>
      <c r="AP53" s="165" t="n">
        <v>1</v>
      </c>
      <c r="AQ53" s="168" t="n">
        <v>2</v>
      </c>
      <c r="AR53" s="171" t="n">
        <v>2</v>
      </c>
      <c r="AS53" s="174" t="n">
        <v>1</v>
      </c>
      <c r="AT53" s="178" t="n">
        <v>0</v>
      </c>
      <c r="AU53" s="178" t="n">
        <v>0</v>
      </c>
      <c r="AV53" s="180" t="n">
        <v>1</v>
      </c>
      <c r="AW53" s="183" t="n">
        <v>0</v>
      </c>
      <c r="AX53" s="184" t="n">
        <v>1</v>
      </c>
      <c r="AY53" s="186" t="n">
        <v>1</v>
      </c>
      <c r="AZ53" s="189" t="n">
        <v>0</v>
      </c>
      <c r="BA53" s="192" t="n">
        <v>0</v>
      </c>
      <c r="BB53" s="196" t="n">
        <v>0</v>
      </c>
      <c r="BC53" s="199" t="n">
        <v>0</v>
      </c>
      <c r="BD53" s="201" t="n">
        <v>2</v>
      </c>
      <c r="BE53" s="205" t="n">
        <v>0</v>
      </c>
      <c r="BF53" s="205" t="n">
        <v>0</v>
      </c>
      <c r="BG53" s="207" t="n">
        <v>3</v>
      </c>
      <c r="BH53" s="210" t="n">
        <v>1</v>
      </c>
      <c r="BI53" s="209" t="n">
        <v>7</v>
      </c>
      <c r="BJ53" s="210" t="n">
        <v>1</v>
      </c>
      <c r="BK53" s="211" t="n">
        <v>0</v>
      </c>
      <c r="BL53" s="209" t="n">
        <v>4</v>
      </c>
      <c r="BM53" s="211" t="n">
        <v>0</v>
      </c>
      <c r="BN53" s="214" t="n">
        <v>1</v>
      </c>
      <c r="BO53" s="215" t="n">
        <v>0</v>
      </c>
      <c r="BP53" s="214" t="n">
        <v>2</v>
      </c>
      <c r="BQ53" s="215" t="n">
        <v>0</v>
      </c>
    </row>
    <row r="54">
      <c r="A54" s="22">
        <f>"https://open.spotify.com/playlist/" &amp; C54</f>
        <v/>
      </c>
      <c r="B54" s="1" t="inlineStr">
        <is>
          <t>ADRENALÍNICO Mix Ciclismo 2026 🔥 Playlist Spinning Indoor | Música Cardio Energética</t>
        </is>
      </c>
      <c r="C54" s="1" t="inlineStr">
        <is>
          <t>5IYReui4r4iIBshey6qcRP</t>
        </is>
      </c>
      <c r="D54" s="3" t="n">
        <v>76</v>
      </c>
      <c r="E54" s="21" t="n">
        <v>0</v>
      </c>
      <c r="F54" s="25" t="n">
        <v>0</v>
      </c>
      <c r="G54" s="26" t="n">
        <v>1</v>
      </c>
      <c r="H54" s="29" t="n">
        <v>0</v>
      </c>
      <c r="I54" s="32" t="n">
        <v>0</v>
      </c>
      <c r="J54" s="74" t="n">
        <v>0</v>
      </c>
      <c r="K54" s="76" t="n">
        <v>0</v>
      </c>
      <c r="L54" s="79" t="n">
        <v>1</v>
      </c>
      <c r="M54" s="83" t="n">
        <v>0</v>
      </c>
      <c r="N54" s="85" t="n">
        <v>3</v>
      </c>
      <c r="O54" s="88" t="n">
        <v>5</v>
      </c>
      <c r="P54" s="92" t="n">
        <v>2</v>
      </c>
      <c r="Q54" s="94" t="n">
        <v>4</v>
      </c>
      <c r="R54" s="99" t="n">
        <v>2</v>
      </c>
      <c r="S54" s="101" t="n">
        <v>1</v>
      </c>
      <c r="T54" s="103" t="n">
        <v>4</v>
      </c>
      <c r="U54" s="107" t="n">
        <v>1</v>
      </c>
      <c r="V54" s="110" t="n">
        <v>1</v>
      </c>
      <c r="W54" s="113" t="n">
        <v>1</v>
      </c>
      <c r="X54" s="116" t="n">
        <v>2</v>
      </c>
      <c r="Y54" s="119" t="n">
        <v>2</v>
      </c>
      <c r="Z54" s="123" t="n">
        <v>0</v>
      </c>
      <c r="AA54" s="127" t="n">
        <v>-1</v>
      </c>
      <c r="AB54" s="129" t="n">
        <v>2</v>
      </c>
      <c r="AC54" s="132" t="n">
        <v>3</v>
      </c>
      <c r="AD54" s="134" t="n">
        <v>4</v>
      </c>
      <c r="AE54" s="138" t="n">
        <v>0</v>
      </c>
      <c r="AF54" s="141" t="n">
        <v>3</v>
      </c>
      <c r="AG54" s="144" t="n">
        <v>2</v>
      </c>
      <c r="AH54" s="147" t="n">
        <v>2</v>
      </c>
      <c r="AI54" s="150" t="n">
        <v>2</v>
      </c>
      <c r="AJ54" s="154" t="n">
        <v>0</v>
      </c>
      <c r="AK54" s="152" t="n">
        <v>2</v>
      </c>
      <c r="AL54" s="157" t="n">
        <v>1</v>
      </c>
      <c r="AM54" s="159" t="n">
        <v>1</v>
      </c>
      <c r="AN54" s="163" t="n">
        <v>-1</v>
      </c>
      <c r="AO54" s="163" t="n">
        <v>0</v>
      </c>
      <c r="AP54" s="165" t="n">
        <v>1</v>
      </c>
      <c r="AQ54" s="169" t="n">
        <v>0</v>
      </c>
      <c r="AR54" s="171" t="n">
        <v>2</v>
      </c>
      <c r="AS54" s="174" t="n">
        <v>1</v>
      </c>
      <c r="AT54" s="177" t="n">
        <v>1</v>
      </c>
      <c r="AU54" s="177" t="n">
        <v>1</v>
      </c>
      <c r="AV54" s="180" t="n">
        <v>1</v>
      </c>
      <c r="AW54" s="184" t="n">
        <v>2</v>
      </c>
      <c r="AX54" s="184" t="n">
        <v>1</v>
      </c>
      <c r="AY54" s="186" t="n">
        <v>2</v>
      </c>
      <c r="AZ54" s="190" t="n">
        <v>1</v>
      </c>
      <c r="BA54" s="192" t="n">
        <v>0</v>
      </c>
      <c r="BB54" s="196" t="n">
        <v>0</v>
      </c>
      <c r="BC54" s="198" t="n">
        <v>2</v>
      </c>
      <c r="BD54" s="201" t="n">
        <v>1</v>
      </c>
      <c r="BE54" s="205" t="n">
        <v>0</v>
      </c>
      <c r="BF54" s="204" t="n">
        <v>2</v>
      </c>
      <c r="BG54" s="208" t="n">
        <v>0</v>
      </c>
      <c r="BH54" s="210" t="n">
        <v>1</v>
      </c>
      <c r="BI54" s="211" t="n">
        <v>0</v>
      </c>
      <c r="BJ54" s="211" t="n">
        <v>0</v>
      </c>
      <c r="BK54" s="210" t="n">
        <v>1</v>
      </c>
      <c r="BL54" s="210" t="n">
        <v>1</v>
      </c>
      <c r="BM54" s="210" t="n">
        <v>1</v>
      </c>
      <c r="BN54" s="215" t="n">
        <v>0</v>
      </c>
      <c r="BO54" s="215" t="n">
        <v>0</v>
      </c>
      <c r="BP54" s="214" t="n">
        <v>1</v>
      </c>
      <c r="BQ54" s="215" t="n">
        <v>0</v>
      </c>
    </row>
    <row r="55">
      <c r="A55" s="22">
        <f>"https://open.spotify.com/playlist/" &amp; C55</f>
        <v/>
      </c>
      <c r="B55" s="1" t="inlineStr">
        <is>
          <t>Abs Workout 2026 | Sixpack Training &amp; Core Burn 🔥💦</t>
        </is>
      </c>
      <c r="C55" s="1" t="inlineStr">
        <is>
          <t>1L9vgjx875rvvn0TbGwCN6</t>
        </is>
      </c>
      <c r="D55" s="3" t="n">
        <v>76</v>
      </c>
      <c r="E55" s="21" t="n">
        <v>0</v>
      </c>
      <c r="F55" s="25" t="n">
        <v>0</v>
      </c>
      <c r="G55" s="26" t="n">
        <v>2</v>
      </c>
      <c r="H55" s="28" t="n">
        <v>1</v>
      </c>
      <c r="I55" s="32" t="n">
        <v>0</v>
      </c>
      <c r="J55" s="73" t="n">
        <v>1</v>
      </c>
      <c r="K55" s="77" t="n">
        <v>1</v>
      </c>
      <c r="L55" s="79" t="n">
        <v>1</v>
      </c>
      <c r="M55" s="82" t="n">
        <v>1</v>
      </c>
      <c r="N55" s="85" t="n">
        <v>2</v>
      </c>
      <c r="O55" s="89" t="n">
        <v>2</v>
      </c>
      <c r="P55" s="91" t="n">
        <v>5</v>
      </c>
      <c r="Q55" s="95" t="n">
        <v>2</v>
      </c>
      <c r="R55" s="99" t="n">
        <v>3</v>
      </c>
      <c r="S55" s="102" t="n">
        <v>0</v>
      </c>
      <c r="T55" s="104" t="n">
        <v>2</v>
      </c>
      <c r="U55" s="108" t="n">
        <v>0</v>
      </c>
      <c r="V55" s="109" t="n">
        <v>4</v>
      </c>
      <c r="W55" s="114" t="n">
        <v>0</v>
      </c>
      <c r="X55" s="116" t="n">
        <v>3</v>
      </c>
      <c r="Y55" s="120" t="n">
        <v>0</v>
      </c>
      <c r="Z55" s="123" t="n">
        <v>0</v>
      </c>
      <c r="AA55" s="126" t="n">
        <v>1</v>
      </c>
      <c r="AB55" s="129" t="n">
        <v>1</v>
      </c>
      <c r="AC55" s="132" t="n">
        <v>1</v>
      </c>
      <c r="AD55" s="135" t="n">
        <v>2</v>
      </c>
      <c r="AE55" s="139" t="n">
        <v>2</v>
      </c>
      <c r="AF55" s="141" t="n">
        <v>1</v>
      </c>
      <c r="AG55" s="144" t="n">
        <v>1</v>
      </c>
      <c r="AH55" s="148" t="n">
        <v>0</v>
      </c>
      <c r="AI55" s="151" t="n">
        <v>0</v>
      </c>
      <c r="AJ55" s="152" t="n">
        <v>1</v>
      </c>
      <c r="AK55" s="152" t="n">
        <v>2</v>
      </c>
      <c r="AL55" s="157" t="n">
        <v>2</v>
      </c>
      <c r="AN55" s="163" t="n">
        <v>0</v>
      </c>
      <c r="AO55" s="163" t="n">
        <v>0</v>
      </c>
      <c r="AP55" s="165" t="n">
        <v>2</v>
      </c>
      <c r="AQ55" s="168" t="n">
        <v>1</v>
      </c>
      <c r="AR55" s="172" t="n">
        <v>0</v>
      </c>
      <c r="AS55" s="174" t="n">
        <v>2</v>
      </c>
      <c r="AT55" s="177" t="n">
        <v>2</v>
      </c>
      <c r="AU55" s="178" t="n">
        <v>0</v>
      </c>
      <c r="AV55" s="180" t="n">
        <v>2</v>
      </c>
      <c r="AW55" s="184" t="n">
        <v>1</v>
      </c>
      <c r="AX55" s="184" t="n">
        <v>2</v>
      </c>
      <c r="AY55" s="187" t="n">
        <v>0</v>
      </c>
      <c r="AZ55" s="190" t="n">
        <v>1</v>
      </c>
      <c r="BA55" s="192" t="n">
        <v>0</v>
      </c>
      <c r="BB55" s="194" t="n">
        <v>1</v>
      </c>
      <c r="BC55" s="199" t="n">
        <v>0</v>
      </c>
      <c r="BD55" s="201" t="n">
        <v>1</v>
      </c>
      <c r="BE55" s="205" t="n">
        <v>-1</v>
      </c>
      <c r="BF55" s="204" t="n">
        <v>2</v>
      </c>
      <c r="BG55" s="207" t="n">
        <v>2</v>
      </c>
      <c r="BH55" s="211" t="n">
        <v>0</v>
      </c>
      <c r="BI55" s="210" t="n">
        <v>1</v>
      </c>
      <c r="BJ55" s="210" t="n">
        <v>1</v>
      </c>
      <c r="BK55" s="210" t="n">
        <v>1</v>
      </c>
      <c r="BL55" s="211" t="n">
        <v>0</v>
      </c>
      <c r="BM55" s="210" t="n">
        <v>2</v>
      </c>
      <c r="BN55" s="215" t="n">
        <v>0</v>
      </c>
      <c r="BO55" s="214" t="n">
        <v>1</v>
      </c>
      <c r="BP55" s="214" t="n">
        <v>3</v>
      </c>
      <c r="BQ55" s="214" t="n">
        <v>2</v>
      </c>
    </row>
    <row r="56">
      <c r="A56" s="22">
        <f>"https://open.spotify.com/playlist/" &amp; C56</f>
        <v/>
      </c>
      <c r="B56" s="1" t="inlineStr">
        <is>
          <t>INTENSE 160–165 Rhythmic Running 💪 | Fast Tempo Run Playlist | Cardio Training Songs</t>
        </is>
      </c>
      <c r="C56" s="1" t="inlineStr">
        <is>
          <t>75LeNKVCTVwyj294m5Op0D</t>
        </is>
      </c>
      <c r="D56" s="3" t="n">
        <v>137</v>
      </c>
      <c r="E56" s="21" t="n">
        <v>0</v>
      </c>
      <c r="F56" s="25" t="n">
        <v>0</v>
      </c>
      <c r="G56" s="25" t="n">
        <v>0</v>
      </c>
      <c r="H56" s="29" t="n">
        <v>0</v>
      </c>
      <c r="I56" s="32" t="n">
        <v>0</v>
      </c>
      <c r="J56" s="74" t="n">
        <v>0</v>
      </c>
      <c r="K56" s="76" t="n">
        <v>0</v>
      </c>
      <c r="L56" s="80" t="n">
        <v>0</v>
      </c>
      <c r="M56" s="83" t="n">
        <v>0</v>
      </c>
      <c r="N56" s="86" t="n">
        <v>0</v>
      </c>
      <c r="O56" s="89" t="n">
        <v>2</v>
      </c>
      <c r="P56" s="91" t="n">
        <v>6</v>
      </c>
      <c r="Q56" s="94" t="n">
        <v>4</v>
      </c>
      <c r="R56" s="97" t="n">
        <v>4</v>
      </c>
      <c r="S56" s="101" t="n">
        <v>3</v>
      </c>
      <c r="T56" s="103" t="n">
        <v>4</v>
      </c>
      <c r="U56" s="106" t="n">
        <v>4</v>
      </c>
      <c r="V56" s="109" t="n">
        <v>4</v>
      </c>
      <c r="W56" s="112" t="n">
        <v>4</v>
      </c>
      <c r="X56" s="116" t="n">
        <v>3</v>
      </c>
      <c r="Y56" s="118" t="n">
        <v>5</v>
      </c>
      <c r="Z56" s="123" t="n">
        <v>-1</v>
      </c>
      <c r="AA56" s="126" t="n">
        <v>1</v>
      </c>
      <c r="AB56" s="129" t="n">
        <v>3</v>
      </c>
      <c r="AC56" s="131" t="n">
        <v>5</v>
      </c>
      <c r="AD56" s="135" t="n">
        <v>1</v>
      </c>
      <c r="AE56" s="137" t="n">
        <v>7</v>
      </c>
      <c r="AF56" s="141" t="n">
        <v>3</v>
      </c>
      <c r="AG56" s="144" t="n">
        <v>1</v>
      </c>
      <c r="AH56" s="146" t="n">
        <v>4</v>
      </c>
      <c r="AI56" s="150" t="n">
        <v>3</v>
      </c>
      <c r="AJ56" s="154" t="n">
        <v>0</v>
      </c>
      <c r="AK56" s="152" t="n">
        <v>3</v>
      </c>
      <c r="AL56" s="157" t="n">
        <v>1</v>
      </c>
      <c r="AM56" s="158" t="n">
        <v>6</v>
      </c>
      <c r="AN56" s="162" t="n">
        <v>2</v>
      </c>
      <c r="AO56" s="162" t="n">
        <v>1</v>
      </c>
      <c r="AP56" s="164" t="n">
        <v>4</v>
      </c>
      <c r="AQ56" s="168" t="n">
        <v>2</v>
      </c>
      <c r="AR56" s="171" t="n">
        <v>3</v>
      </c>
      <c r="AS56" s="174" t="n">
        <v>3</v>
      </c>
      <c r="AT56" s="177" t="n">
        <v>1</v>
      </c>
      <c r="AU56" s="177" t="n">
        <v>2</v>
      </c>
      <c r="AV56" s="180" t="n">
        <v>1</v>
      </c>
      <c r="AW56" s="182" t="n">
        <v>4</v>
      </c>
      <c r="AX56" s="184" t="n">
        <v>1</v>
      </c>
      <c r="AY56" s="187" t="n">
        <v>0</v>
      </c>
      <c r="AZ56" s="190" t="n">
        <v>2</v>
      </c>
      <c r="BA56" s="191" t="n">
        <v>1</v>
      </c>
      <c r="BB56" s="194" t="n">
        <v>2</v>
      </c>
      <c r="BC56" s="197" t="n">
        <v>4</v>
      </c>
      <c r="BD56" s="201" t="n">
        <v>2</v>
      </c>
      <c r="BE56" s="204" t="n">
        <v>2</v>
      </c>
      <c r="BF56" s="203" t="n">
        <v>4</v>
      </c>
      <c r="BG56" s="207" t="n">
        <v>2</v>
      </c>
      <c r="BH56" s="210" t="n">
        <v>1</v>
      </c>
      <c r="BI56" s="210" t="n">
        <v>2</v>
      </c>
      <c r="BJ56" s="210" t="n">
        <v>1</v>
      </c>
      <c r="BK56" s="210" t="n">
        <v>1</v>
      </c>
      <c r="BL56" s="210" t="n">
        <v>1</v>
      </c>
      <c r="BM56" s="210" t="n">
        <v>2</v>
      </c>
      <c r="BN56" s="214" t="n">
        <v>1</v>
      </c>
      <c r="BO56" s="215" t="n">
        <v>0</v>
      </c>
      <c r="BP56" s="214" t="n">
        <v>1</v>
      </c>
      <c r="BQ56" s="214" t="n">
        <v>1</v>
      </c>
    </row>
    <row r="57">
      <c r="A57" s="22">
        <f>"https://open.spotify.com/playlist/" &amp; C57</f>
        <v/>
      </c>
      <c r="B57" s="1" t="inlineStr">
        <is>
          <t>Cool Down 2026 | Post-Workout Recovery &amp; Relaxed Energy 🌙✨</t>
        </is>
      </c>
      <c r="C57" s="1" t="inlineStr">
        <is>
          <t>7ue0O7xuR3HoERLDcOGBpK</t>
        </is>
      </c>
      <c r="D57" s="3" t="n">
        <v>100</v>
      </c>
      <c r="E57" s="21" t="n">
        <v>0</v>
      </c>
      <c r="F57" s="25" t="n">
        <v>0</v>
      </c>
      <c r="G57" s="25" t="n">
        <v>0</v>
      </c>
      <c r="H57" s="28" t="n">
        <v>1</v>
      </c>
      <c r="I57" s="32" t="n">
        <v>0</v>
      </c>
      <c r="J57" s="74" t="n">
        <v>0</v>
      </c>
      <c r="K57" s="76" t="n">
        <v>0</v>
      </c>
      <c r="L57" s="80" t="n">
        <v>0</v>
      </c>
      <c r="M57" s="82" t="n">
        <v>1</v>
      </c>
      <c r="N57" s="85" t="n">
        <v>2</v>
      </c>
      <c r="O57" s="90" t="n">
        <v>0</v>
      </c>
      <c r="P57" s="92" t="n">
        <v>2</v>
      </c>
      <c r="Q57" s="94" t="n">
        <v>4</v>
      </c>
      <c r="R57" s="99" t="n">
        <v>1</v>
      </c>
      <c r="S57" s="101" t="n">
        <v>1</v>
      </c>
      <c r="T57" s="104" t="n">
        <v>2</v>
      </c>
      <c r="U57" s="108" t="n">
        <v>0</v>
      </c>
      <c r="V57" s="110" t="n">
        <v>2</v>
      </c>
      <c r="W57" s="113" t="n">
        <v>2</v>
      </c>
      <c r="X57" s="116" t="n">
        <v>3</v>
      </c>
      <c r="Y57" s="119" t="n">
        <v>3</v>
      </c>
      <c r="Z57" s="123" t="n">
        <v>0</v>
      </c>
      <c r="AA57" s="126" t="n">
        <v>1</v>
      </c>
      <c r="AB57" s="128" t="n">
        <v>6</v>
      </c>
      <c r="AC57" s="132" t="n">
        <v>3</v>
      </c>
      <c r="AD57" s="135" t="n">
        <v>3</v>
      </c>
      <c r="AE57" s="139" t="n">
        <v>2</v>
      </c>
      <c r="AF57" s="141" t="n">
        <v>1</v>
      </c>
      <c r="AG57" s="145" t="n">
        <v>0</v>
      </c>
      <c r="AH57" s="147" t="n">
        <v>3</v>
      </c>
      <c r="AI57" s="150" t="n">
        <v>3</v>
      </c>
      <c r="AJ57" s="153" t="n">
        <v>5</v>
      </c>
      <c r="AK57" s="152" t="n">
        <v>3</v>
      </c>
      <c r="AL57" s="155" t="n">
        <v>4</v>
      </c>
      <c r="AM57" s="159" t="n">
        <v>1</v>
      </c>
      <c r="AN57" s="162" t="n">
        <v>1</v>
      </c>
      <c r="AO57" s="162" t="n">
        <v>1</v>
      </c>
      <c r="AP57" s="166" t="n">
        <v>0</v>
      </c>
      <c r="AQ57" s="167" t="n">
        <v>4</v>
      </c>
      <c r="AR57" s="171" t="n">
        <v>1</v>
      </c>
      <c r="AS57" s="174" t="n">
        <v>2</v>
      </c>
      <c r="AT57" s="177" t="n">
        <v>2</v>
      </c>
      <c r="AU57" s="178" t="n">
        <v>0</v>
      </c>
      <c r="AV57" s="180" t="n">
        <v>3</v>
      </c>
      <c r="AW57" s="184" t="n">
        <v>2</v>
      </c>
      <c r="AX57" s="184" t="n">
        <v>2</v>
      </c>
      <c r="AY57" s="186" t="n">
        <v>1</v>
      </c>
      <c r="AZ57" s="190" t="n">
        <v>1</v>
      </c>
      <c r="BA57" s="192" t="n">
        <v>0</v>
      </c>
      <c r="BB57" s="196" t="n">
        <v>0</v>
      </c>
      <c r="BC57" s="199" t="n">
        <v>0</v>
      </c>
      <c r="BD57" s="201" t="n">
        <v>3</v>
      </c>
      <c r="BE57" s="204" t="n">
        <v>3</v>
      </c>
      <c r="BF57" s="204" t="n">
        <v>2</v>
      </c>
      <c r="BG57" s="207" t="n">
        <v>2</v>
      </c>
      <c r="BH57" s="210" t="n">
        <v>1</v>
      </c>
      <c r="BI57" s="211" t="n">
        <v>0</v>
      </c>
      <c r="BJ57" s="211" t="n">
        <v>0</v>
      </c>
      <c r="BK57" s="211" t="n">
        <v>0</v>
      </c>
      <c r="BL57" s="210" t="n">
        <v>1</v>
      </c>
      <c r="BM57" s="211" t="n">
        <v>0</v>
      </c>
      <c r="BN57" s="214" t="n">
        <v>3</v>
      </c>
      <c r="BO57" s="215" t="n">
        <v>0</v>
      </c>
      <c r="BP57" s="214" t="n">
        <v>3</v>
      </c>
      <c r="BQ57" s="215" t="n">
        <v>0</v>
      </c>
    </row>
    <row r="58">
      <c r="A58" s="22">
        <f>"https://open.spotify.com/playlist/" &amp; C58</f>
        <v/>
      </c>
      <c r="B58" s="1" t="inlineStr">
        <is>
          <t>ELITE Summer Vibes 140-150 BPM 🌞 | Summer Anthems Collection</t>
        </is>
      </c>
      <c r="C58" s="1" t="inlineStr">
        <is>
          <t>0KWBcjZm29itD5OfTbEmjT</t>
        </is>
      </c>
      <c r="D58" s="3" t="n">
        <v>13</v>
      </c>
      <c r="E58" s="20" t="n">
        <v>1</v>
      </c>
      <c r="F58" s="25" t="n">
        <v>0</v>
      </c>
      <c r="G58" s="26" t="n">
        <v>1</v>
      </c>
      <c r="H58" s="29" t="n">
        <v>0</v>
      </c>
      <c r="I58" s="32" t="n">
        <v>0</v>
      </c>
      <c r="J58" s="73" t="n">
        <v>1</v>
      </c>
      <c r="K58" s="76" t="n">
        <v>0</v>
      </c>
      <c r="L58" s="79" t="n">
        <v>2</v>
      </c>
      <c r="M58" s="83" t="n">
        <v>0</v>
      </c>
      <c r="N58" s="86" t="n">
        <v>0</v>
      </c>
      <c r="O58" s="89" t="n">
        <v>1</v>
      </c>
      <c r="P58" s="93" t="n">
        <v>0</v>
      </c>
      <c r="Q58" s="96" t="n">
        <v>0</v>
      </c>
      <c r="R58" s="98" t="n">
        <v>0</v>
      </c>
      <c r="S58" s="102" t="n">
        <v>0</v>
      </c>
      <c r="T58" s="104" t="n">
        <v>1</v>
      </c>
      <c r="U58" s="108" t="n">
        <v>0</v>
      </c>
      <c r="V58" s="111" t="n">
        <v>0</v>
      </c>
      <c r="W58" s="114" t="n">
        <v>0</v>
      </c>
      <c r="X58" s="117" t="n">
        <v>0</v>
      </c>
      <c r="Y58" s="120" t="n">
        <v>0</v>
      </c>
      <c r="Z58" s="121" t="n">
        <v>1</v>
      </c>
      <c r="AA58" s="127" t="n">
        <v>0</v>
      </c>
      <c r="AB58" s="130" t="n">
        <v>0</v>
      </c>
      <c r="AC58" s="133" t="n">
        <v>0</v>
      </c>
      <c r="AD58" s="136" t="n">
        <v>0</v>
      </c>
      <c r="AE58" s="138" t="n">
        <v>0</v>
      </c>
      <c r="AF58" s="142" t="n">
        <v>0</v>
      </c>
      <c r="AG58" s="145" t="n">
        <v>0</v>
      </c>
      <c r="AH58" s="148" t="n">
        <v>0</v>
      </c>
      <c r="AI58" s="151" t="n">
        <v>0</v>
      </c>
      <c r="AJ58" s="154" t="n">
        <v>0</v>
      </c>
      <c r="AK58" s="154" t="n">
        <v>0</v>
      </c>
      <c r="AL58" s="157" t="n">
        <v>1</v>
      </c>
      <c r="AM58" s="160" t="n">
        <v>0</v>
      </c>
      <c r="AN58" s="163" t="n">
        <v>0</v>
      </c>
      <c r="AO58" s="163" t="n">
        <v>0</v>
      </c>
      <c r="AP58" s="166" t="n">
        <v>0</v>
      </c>
      <c r="AQ58" s="169" t="n">
        <v>0</v>
      </c>
      <c r="AR58" s="172" t="n">
        <v>0</v>
      </c>
      <c r="AS58" s="175" t="n">
        <v>0</v>
      </c>
      <c r="AT58" s="178" t="n">
        <v>0</v>
      </c>
      <c r="AU58" s="178" t="n">
        <v>0</v>
      </c>
      <c r="AV58" s="181" t="n">
        <v>0</v>
      </c>
      <c r="AW58" s="183" t="n">
        <v>0</v>
      </c>
      <c r="AX58" s="183" t="n">
        <v>0</v>
      </c>
      <c r="AY58" s="187" t="n">
        <v>0</v>
      </c>
      <c r="AZ58" s="189" t="n">
        <v>0</v>
      </c>
      <c r="BA58" s="192" t="n">
        <v>0</v>
      </c>
      <c r="BB58" s="196" t="n">
        <v>0</v>
      </c>
      <c r="BC58" s="199" t="n">
        <v>0</v>
      </c>
      <c r="BD58" s="202" t="n">
        <v>0</v>
      </c>
      <c r="BE58" s="205" t="n">
        <v>0</v>
      </c>
      <c r="BF58" s="205" t="n">
        <v>0</v>
      </c>
      <c r="BG58" s="208" t="n">
        <v>0</v>
      </c>
      <c r="BH58" s="211" t="n">
        <v>0</v>
      </c>
      <c r="BI58" s="211" t="n">
        <v>0</v>
      </c>
      <c r="BJ58" s="211" t="n">
        <v>0</v>
      </c>
      <c r="BK58" s="211" t="n">
        <v>0</v>
      </c>
      <c r="BL58" s="211" t="n">
        <v>0</v>
      </c>
      <c r="BM58" s="211" t="n">
        <v>0</v>
      </c>
      <c r="BN58" s="214" t="n">
        <v>1</v>
      </c>
      <c r="BO58" s="215" t="n">
        <v>0</v>
      </c>
      <c r="BP58" s="215" t="n">
        <v>0</v>
      </c>
      <c r="BQ58" s="215" t="n">
        <v>0</v>
      </c>
    </row>
    <row r="59">
      <c r="A59" s="22">
        <f>"https://open.spotify.com/playlist/" &amp; C59</f>
        <v/>
      </c>
      <c r="B59" s="1" t="inlineStr">
        <is>
          <t>EPIC Summer Shred 150–160 BPM 🔥 | Beach Body Energy Workout</t>
        </is>
      </c>
      <c r="C59" s="1" t="inlineStr">
        <is>
          <t>7adOKJ4QrndShoGcuLLrWq</t>
        </is>
      </c>
      <c r="D59" s="3" t="n">
        <v>20</v>
      </c>
      <c r="E59" s="21" t="n">
        <v>0</v>
      </c>
      <c r="F59" s="25" t="n">
        <v>0</v>
      </c>
      <c r="G59" s="25" t="n">
        <v>0</v>
      </c>
      <c r="H59" s="29" t="n">
        <v>0</v>
      </c>
      <c r="I59" s="32" t="n">
        <v>0</v>
      </c>
      <c r="J59" s="74" t="n">
        <v>0</v>
      </c>
      <c r="K59" s="75" t="n">
        <v>4</v>
      </c>
      <c r="L59" s="80" t="n">
        <v>0</v>
      </c>
      <c r="M59" s="83" t="n">
        <v>0</v>
      </c>
      <c r="N59" s="85" t="n">
        <v>1</v>
      </c>
      <c r="O59" s="90" t="n">
        <v>0</v>
      </c>
      <c r="P59" s="92" t="n">
        <v>2</v>
      </c>
      <c r="Q59" s="95" t="n">
        <v>1</v>
      </c>
      <c r="R59" s="99" t="n">
        <v>1</v>
      </c>
      <c r="S59" s="102" t="n">
        <v>0</v>
      </c>
      <c r="T59" s="105" t="n">
        <v>0</v>
      </c>
      <c r="U59" s="108" t="n">
        <v>0</v>
      </c>
      <c r="V59" s="111" t="n">
        <v>0</v>
      </c>
      <c r="W59" s="114" t="n">
        <v>0</v>
      </c>
      <c r="X59" s="116" t="n">
        <v>1</v>
      </c>
      <c r="Y59" s="119" t="n">
        <v>1</v>
      </c>
      <c r="Z59" s="121" t="n">
        <v>1</v>
      </c>
      <c r="AA59" s="126" t="n">
        <v>2</v>
      </c>
      <c r="AB59" s="130" t="n">
        <v>0</v>
      </c>
      <c r="AC59" s="132" t="n">
        <v>1</v>
      </c>
      <c r="AD59" s="136" t="n">
        <v>0</v>
      </c>
      <c r="AE59" s="138" t="n">
        <v>0</v>
      </c>
      <c r="AF59" s="142" t="n">
        <v>0</v>
      </c>
      <c r="AG59" s="145" t="n">
        <v>0</v>
      </c>
      <c r="AH59" s="147" t="n">
        <v>1</v>
      </c>
      <c r="AI59" s="151" t="n">
        <v>0</v>
      </c>
      <c r="AJ59" s="154" t="n">
        <v>0</v>
      </c>
      <c r="AK59" s="154" t="n">
        <v>0</v>
      </c>
      <c r="AL59" s="157" t="n">
        <v>1</v>
      </c>
      <c r="AM59" s="160" t="n">
        <v>0</v>
      </c>
      <c r="AN59" s="163" t="n">
        <v>0</v>
      </c>
      <c r="AO59" s="163" t="n">
        <v>0</v>
      </c>
      <c r="AP59" s="166" t="n">
        <v>0</v>
      </c>
      <c r="AQ59" s="169" t="n">
        <v>0</v>
      </c>
      <c r="AR59" s="172" t="n">
        <v>0</v>
      </c>
      <c r="AS59" s="175" t="n">
        <v>0</v>
      </c>
      <c r="AT59" s="178" t="n">
        <v>0</v>
      </c>
      <c r="AU59" s="178" t="n">
        <v>0</v>
      </c>
      <c r="AV59" s="181" t="n">
        <v>0</v>
      </c>
      <c r="AW59" s="183" t="n">
        <v>0</v>
      </c>
      <c r="AX59" s="184" t="n">
        <v>1</v>
      </c>
      <c r="AY59" s="187" t="n">
        <v>0</v>
      </c>
      <c r="AZ59" s="189" t="n">
        <v>0</v>
      </c>
      <c r="BA59" s="192" t="n">
        <v>0</v>
      </c>
      <c r="BB59" s="196" t="n">
        <v>0</v>
      </c>
      <c r="BC59" s="199" t="n">
        <v>0</v>
      </c>
      <c r="BD59" s="202" t="n">
        <v>0</v>
      </c>
      <c r="BE59" s="205" t="n">
        <v>0</v>
      </c>
      <c r="BF59" s="205" t="n">
        <v>0</v>
      </c>
      <c r="BG59" s="208" t="n">
        <v>0</v>
      </c>
      <c r="BH59" s="211" t="n">
        <v>0</v>
      </c>
      <c r="BI59" s="211" t="n">
        <v>0</v>
      </c>
      <c r="BJ59" s="211" t="n">
        <v>0</v>
      </c>
      <c r="BK59" s="211" t="n">
        <v>0</v>
      </c>
      <c r="BL59" s="211" t="n">
        <v>0</v>
      </c>
      <c r="BM59" s="211" t="n">
        <v>0</v>
      </c>
      <c r="BN59" s="215" t="n">
        <v>0</v>
      </c>
      <c r="BO59" s="215" t="n">
        <v>-1</v>
      </c>
      <c r="BP59" s="215" t="n">
        <v>0</v>
      </c>
      <c r="BQ59" s="215" t="n">
        <v>0</v>
      </c>
    </row>
    <row r="60">
      <c r="A60" s="22">
        <f>"https://open.spotify.com/playlist/" &amp; C60</f>
        <v/>
      </c>
      <c r="B60" s="1" t="inlineStr">
        <is>
          <t>HARDCORE 170–180 BPM Outdoor Cardio Jogging 🔥 | High Tempo Workout Playlist</t>
        </is>
      </c>
      <c r="C60" s="1" t="inlineStr">
        <is>
          <t>5dQAwVREGWctdK3vx88GpC</t>
        </is>
      </c>
      <c r="D60" s="3" t="n">
        <v>70</v>
      </c>
      <c r="E60" s="21" t="n">
        <v>0</v>
      </c>
      <c r="F60" s="25" t="n">
        <v>0</v>
      </c>
      <c r="G60" s="25" t="n">
        <v>0</v>
      </c>
      <c r="H60" s="28" t="n">
        <v>1</v>
      </c>
      <c r="I60" s="31" t="n">
        <v>1</v>
      </c>
      <c r="J60" s="72" t="n">
        <v>6</v>
      </c>
      <c r="K60" s="77" t="n">
        <v>1</v>
      </c>
      <c r="L60" s="80" t="n">
        <v>0</v>
      </c>
      <c r="M60" s="83" t="n">
        <v>0</v>
      </c>
      <c r="N60" s="85" t="n">
        <v>1</v>
      </c>
      <c r="O60" s="89" t="n">
        <v>1</v>
      </c>
      <c r="P60" s="93" t="n">
        <v>0</v>
      </c>
      <c r="Q60" s="95" t="n">
        <v>1</v>
      </c>
      <c r="R60" s="99" t="n">
        <v>2</v>
      </c>
      <c r="S60" s="101" t="n">
        <v>1</v>
      </c>
      <c r="T60" s="104" t="n">
        <v>1</v>
      </c>
      <c r="U60" s="108" t="n">
        <v>0</v>
      </c>
      <c r="V60" s="110" t="n">
        <v>1</v>
      </c>
      <c r="W60" s="113" t="n">
        <v>1</v>
      </c>
      <c r="X60" s="116" t="n">
        <v>1</v>
      </c>
      <c r="Y60" s="119" t="n">
        <v>1</v>
      </c>
      <c r="Z60" s="121" t="n">
        <v>1</v>
      </c>
      <c r="AA60" s="126" t="n">
        <v>2</v>
      </c>
      <c r="AB60" s="129" t="n">
        <v>3</v>
      </c>
      <c r="AC60" s="132" t="n">
        <v>1</v>
      </c>
      <c r="AD60" s="136" t="n">
        <v>0</v>
      </c>
      <c r="AE60" s="139" t="n">
        <v>2</v>
      </c>
      <c r="AF60" s="141" t="n">
        <v>3</v>
      </c>
      <c r="AG60" s="144" t="n">
        <v>3</v>
      </c>
      <c r="AH60" s="147" t="n">
        <v>3</v>
      </c>
      <c r="AI60" s="151" t="n">
        <v>0</v>
      </c>
      <c r="AJ60" s="152" t="n">
        <v>1</v>
      </c>
      <c r="AK60" s="154" t="n">
        <v>0</v>
      </c>
      <c r="AL60" s="157" t="n">
        <v>2</v>
      </c>
      <c r="AM60" s="159" t="n">
        <v>1</v>
      </c>
      <c r="AN60" s="161" t="n">
        <v>2</v>
      </c>
      <c r="AO60" s="161" t="n">
        <v>2</v>
      </c>
      <c r="AP60" s="165" t="n">
        <v>2</v>
      </c>
      <c r="AQ60" s="168" t="n">
        <v>1</v>
      </c>
      <c r="AR60" s="172" t="n">
        <v>0</v>
      </c>
      <c r="AS60" s="175" t="n">
        <v>-1</v>
      </c>
      <c r="AT60" s="177" t="n">
        <v>1</v>
      </c>
      <c r="AU60" s="178" t="n">
        <v>0</v>
      </c>
      <c r="AV60" s="180" t="n">
        <v>1</v>
      </c>
      <c r="AW60" s="184" t="n">
        <v>1</v>
      </c>
      <c r="AX60" s="183" t="n">
        <v>0</v>
      </c>
      <c r="AY60" s="187" t="n">
        <v>0</v>
      </c>
      <c r="AZ60" s="190" t="n">
        <v>2</v>
      </c>
      <c r="BA60" s="191" t="n">
        <v>1</v>
      </c>
      <c r="BB60" s="194" t="n">
        <v>2</v>
      </c>
      <c r="BC60" s="199" t="n">
        <v>0</v>
      </c>
      <c r="BD60" s="202" t="n">
        <v>0</v>
      </c>
      <c r="BE60" s="204" t="n">
        <v>1</v>
      </c>
      <c r="BF60" s="204" t="n">
        <v>1</v>
      </c>
      <c r="BG60" s="207" t="n">
        <v>2</v>
      </c>
      <c r="BH60" s="211" t="n">
        <v>0</v>
      </c>
      <c r="BI60" s="210" t="n">
        <v>3</v>
      </c>
      <c r="BJ60" s="210" t="n">
        <v>1</v>
      </c>
      <c r="BK60" s="211" t="n">
        <v>0</v>
      </c>
      <c r="BL60" s="210" t="n">
        <v>2</v>
      </c>
      <c r="BM60" s="211" t="n">
        <v>0</v>
      </c>
      <c r="BN60" s="214" t="n">
        <v>1</v>
      </c>
      <c r="BO60" s="215" t="n">
        <v>0</v>
      </c>
      <c r="BP60" s="215" t="n">
        <v>0</v>
      </c>
      <c r="BQ60" s="215" t="n">
        <v>0</v>
      </c>
    </row>
    <row r="61">
      <c r="A61" s="22">
        <f>"https://open.spotify.com/playlist/" &amp; C61</f>
        <v/>
      </c>
      <c r="B61" s="1" t="inlineStr">
        <is>
          <t>SAVAGE Beach Running 160–170 BPM 🌊 | High Tempo Sand Run Playlist</t>
        </is>
      </c>
      <c r="C61" s="1" t="inlineStr">
        <is>
          <t>3KkmldhYNLJBEaLUKe0qMv</t>
        </is>
      </c>
      <c r="D61" s="3" t="n">
        <v>39</v>
      </c>
      <c r="E61" s="21" t="n">
        <v>0</v>
      </c>
      <c r="F61" s="26" t="n">
        <v>1</v>
      </c>
      <c r="G61" s="25" t="n">
        <v>0</v>
      </c>
      <c r="H61" s="28" t="n">
        <v>1</v>
      </c>
      <c r="I61" s="32" t="n">
        <v>0</v>
      </c>
      <c r="J61" s="74" t="n">
        <v>0</v>
      </c>
      <c r="K61" s="77" t="n">
        <v>1</v>
      </c>
      <c r="L61" s="80" t="n">
        <v>0</v>
      </c>
      <c r="M61" s="83" t="n">
        <v>0</v>
      </c>
      <c r="N61" s="86" t="n">
        <v>0</v>
      </c>
      <c r="O61" s="90" t="n">
        <v>0</v>
      </c>
      <c r="P61" s="92" t="n">
        <v>1</v>
      </c>
      <c r="Q61" s="95" t="n">
        <v>1</v>
      </c>
      <c r="R61" s="99" t="n">
        <v>1</v>
      </c>
      <c r="S61" s="102" t="n">
        <v>0</v>
      </c>
      <c r="T61" s="105" t="n">
        <v>0</v>
      </c>
      <c r="U61" s="107" t="n">
        <v>1</v>
      </c>
      <c r="V61" s="111" t="n">
        <v>0</v>
      </c>
      <c r="W61" s="114" t="n">
        <v>0</v>
      </c>
      <c r="X61" s="116" t="n">
        <v>1</v>
      </c>
      <c r="Y61" s="119" t="n">
        <v>1</v>
      </c>
      <c r="Z61" s="121" t="n">
        <v>3</v>
      </c>
      <c r="AA61" s="126" t="n">
        <v>1</v>
      </c>
      <c r="AB61" s="130" t="n">
        <v>0</v>
      </c>
      <c r="AC61" s="132" t="n">
        <v>3</v>
      </c>
      <c r="AD61" s="136" t="n">
        <v>0</v>
      </c>
      <c r="AE61" s="139" t="n">
        <v>1</v>
      </c>
      <c r="AF61" s="141" t="n">
        <v>1</v>
      </c>
      <c r="AG61" s="145" t="n">
        <v>0</v>
      </c>
      <c r="AH61" s="147" t="n">
        <v>1</v>
      </c>
      <c r="AI61" s="150" t="n">
        <v>1</v>
      </c>
      <c r="AJ61" s="154" t="n">
        <v>0</v>
      </c>
      <c r="AK61" s="152" t="n">
        <v>2</v>
      </c>
      <c r="AL61" s="157" t="n">
        <v>2</v>
      </c>
      <c r="AM61" s="160" t="n">
        <v>0</v>
      </c>
      <c r="AN61" s="162" t="n">
        <v>1</v>
      </c>
      <c r="AO61" s="162" t="n">
        <v>0</v>
      </c>
      <c r="AP61" s="166" t="n">
        <v>0</v>
      </c>
      <c r="AQ61" s="169" t="n">
        <v>0</v>
      </c>
      <c r="AR61" s="171" t="n">
        <v>1</v>
      </c>
      <c r="AS61" s="175" t="n">
        <v>0</v>
      </c>
      <c r="AT61" s="178" t="n">
        <v>0</v>
      </c>
      <c r="AU61" s="177" t="n">
        <v>1</v>
      </c>
      <c r="AV61" s="180" t="n">
        <v>2</v>
      </c>
      <c r="AW61" s="184" t="n">
        <v>2</v>
      </c>
      <c r="AX61" s="183" t="n">
        <v>0</v>
      </c>
      <c r="AY61" s="187" t="n">
        <v>0</v>
      </c>
      <c r="AZ61" s="189" t="n">
        <v>0</v>
      </c>
      <c r="BA61" s="191" t="n">
        <v>2</v>
      </c>
      <c r="BB61" s="196" t="n">
        <v>0</v>
      </c>
      <c r="BC61" s="198" t="n">
        <v>1</v>
      </c>
      <c r="BD61" s="202" t="n">
        <v>0</v>
      </c>
      <c r="BE61" s="205" t="n">
        <v>0</v>
      </c>
      <c r="BF61" s="204" t="n">
        <v>1</v>
      </c>
      <c r="BG61" s="207" t="n">
        <v>1</v>
      </c>
      <c r="BH61" s="211" t="n">
        <v>0</v>
      </c>
      <c r="BI61" s="211" t="n">
        <v>0</v>
      </c>
      <c r="BJ61" s="211" t="n">
        <v>0</v>
      </c>
      <c r="BK61" s="211" t="n">
        <v>0</v>
      </c>
      <c r="BL61" s="211" t="n">
        <v>0</v>
      </c>
      <c r="BM61" s="211" t="n">
        <v>0</v>
      </c>
      <c r="BN61" s="215" t="n">
        <v>0</v>
      </c>
      <c r="BO61" s="214" t="n">
        <v>1</v>
      </c>
      <c r="BP61" s="215" t="n">
        <v>-1</v>
      </c>
      <c r="BQ61" s="215" t="n">
        <v>0</v>
      </c>
    </row>
    <row r="62">
      <c r="A62" s="22">
        <f>"https://open.spotify.com/playlist/" &amp; C62</f>
        <v/>
      </c>
      <c r="B62" s="1" t="inlineStr">
        <is>
          <t>Adrenaline Rush Workout 2026 | High-Intensity Training Beats ⚡🔥</t>
        </is>
      </c>
      <c r="C62" s="1" t="inlineStr">
        <is>
          <t>4uIsODhEyVmowZLgqmpxGm</t>
        </is>
      </c>
      <c r="D62" s="3" t="n">
        <v>67</v>
      </c>
      <c r="E62" s="21" t="n">
        <v>0</v>
      </c>
      <c r="F62" s="26" t="n">
        <v>1</v>
      </c>
      <c r="G62" s="25" t="n">
        <v>0</v>
      </c>
      <c r="H62" s="29" t="n">
        <v>0</v>
      </c>
      <c r="I62" s="31" t="n">
        <v>2</v>
      </c>
      <c r="J62" s="72" t="n">
        <v>4</v>
      </c>
      <c r="K62" s="77" t="n">
        <v>2</v>
      </c>
      <c r="L62" s="79" t="n">
        <v>1</v>
      </c>
      <c r="M62" s="82" t="n">
        <v>3</v>
      </c>
      <c r="N62" s="85" t="n">
        <v>1</v>
      </c>
      <c r="O62" s="89" t="n">
        <v>1</v>
      </c>
      <c r="P62" s="92" t="n">
        <v>2</v>
      </c>
      <c r="Q62" s="96" t="n">
        <v>0</v>
      </c>
      <c r="R62" s="99" t="n">
        <v>2</v>
      </c>
      <c r="S62" s="101" t="n">
        <v>2</v>
      </c>
      <c r="T62" s="104" t="n">
        <v>3</v>
      </c>
      <c r="U62" s="107" t="n">
        <v>1</v>
      </c>
      <c r="V62" s="111" t="n">
        <v>0</v>
      </c>
      <c r="W62" s="113" t="n">
        <v>2</v>
      </c>
      <c r="X62" s="117" t="n">
        <v>0</v>
      </c>
      <c r="Y62" s="120" t="n">
        <v>0</v>
      </c>
      <c r="Z62" s="121" t="n">
        <v>1</v>
      </c>
      <c r="AA62" s="126" t="n">
        <v>1</v>
      </c>
      <c r="AB62" s="130" t="n">
        <v>0</v>
      </c>
      <c r="AC62" s="132" t="n">
        <v>1</v>
      </c>
      <c r="AD62" s="135" t="n">
        <v>1</v>
      </c>
      <c r="AE62" s="139" t="n">
        <v>1</v>
      </c>
      <c r="AF62" s="141" t="n">
        <v>2</v>
      </c>
      <c r="AG62" s="144" t="n">
        <v>1</v>
      </c>
      <c r="AH62" s="147" t="n">
        <v>1</v>
      </c>
      <c r="AI62" s="151" t="n">
        <v>0</v>
      </c>
      <c r="AJ62" s="154" t="n">
        <v>0</v>
      </c>
      <c r="AK62" s="152" t="n">
        <v>2</v>
      </c>
      <c r="AL62" s="156" t="n">
        <v>0</v>
      </c>
      <c r="AM62" s="159" t="n">
        <v>2</v>
      </c>
      <c r="AN62" s="163" t="n">
        <v>0</v>
      </c>
      <c r="AO62" s="163" t="n">
        <v>0</v>
      </c>
      <c r="AP62" s="166" t="n">
        <v>0</v>
      </c>
      <c r="AQ62" s="168" t="n">
        <v>1</v>
      </c>
      <c r="AR62" s="172" t="n">
        <v>0</v>
      </c>
      <c r="AS62" s="175" t="n">
        <v>0</v>
      </c>
      <c r="AT62" s="177" t="n">
        <v>2</v>
      </c>
      <c r="AU62" s="178" t="n">
        <v>0</v>
      </c>
      <c r="AV62" s="181" t="n">
        <v>0</v>
      </c>
      <c r="AW62" s="184" t="n">
        <v>1</v>
      </c>
      <c r="AX62" s="183" t="n">
        <v>0</v>
      </c>
      <c r="AY62" s="186" t="n">
        <v>1</v>
      </c>
      <c r="AZ62" s="190" t="n">
        <v>2</v>
      </c>
      <c r="BA62" s="191" t="n">
        <v>2</v>
      </c>
      <c r="BB62" s="194" t="n">
        <v>2</v>
      </c>
      <c r="BC62" s="198" t="n">
        <v>1</v>
      </c>
      <c r="BD62" s="201" t="n">
        <v>2</v>
      </c>
      <c r="BE62" s="205" t="n">
        <v>0</v>
      </c>
      <c r="BF62" s="205" t="n">
        <v>0</v>
      </c>
      <c r="BG62" s="208" t="n">
        <v>0</v>
      </c>
      <c r="BH62" s="211" t="n">
        <v>0</v>
      </c>
      <c r="BI62" s="210" t="n">
        <v>3</v>
      </c>
      <c r="BJ62" s="211" t="n">
        <v>0</v>
      </c>
      <c r="BK62" s="211" t="n">
        <v>0</v>
      </c>
      <c r="BL62" s="210" t="n">
        <v>2</v>
      </c>
      <c r="BM62" s="211" t="n">
        <v>0</v>
      </c>
      <c r="BN62" s="214" t="n">
        <v>1</v>
      </c>
      <c r="BO62" s="215" t="n">
        <v>0</v>
      </c>
      <c r="BP62" s="214" t="n">
        <v>1</v>
      </c>
      <c r="BQ62" s="214" t="n">
        <v>3</v>
      </c>
    </row>
    <row r="63">
      <c r="A63" s="22">
        <f>"https://open.spotify.com/playlist/" &amp; C63</f>
        <v/>
      </c>
      <c r="B63" s="1" t="inlineStr">
        <is>
          <t>Animal Flow Training 2026 | Bodyweight Strength, Mobility &amp; Conditioning 🐾🔥</t>
        </is>
      </c>
      <c r="C63" s="1" t="inlineStr">
        <is>
          <t>12ZcMGTFybpSbvtTCKyKSv</t>
        </is>
      </c>
      <c r="D63" s="3" t="n">
        <v>6</v>
      </c>
      <c r="E63" s="21" t="n">
        <v>0</v>
      </c>
      <c r="F63" s="25" t="n">
        <v>0</v>
      </c>
      <c r="G63" s="25" t="n">
        <v>0</v>
      </c>
      <c r="H63" s="29" t="n">
        <v>0</v>
      </c>
      <c r="I63" s="32" t="n">
        <v>0</v>
      </c>
      <c r="J63" s="74" t="n">
        <v>0</v>
      </c>
      <c r="K63" s="76" t="n">
        <v>0</v>
      </c>
      <c r="L63" s="80" t="n">
        <v>0</v>
      </c>
      <c r="M63" s="83" t="n">
        <v>0</v>
      </c>
      <c r="N63" s="86" t="n">
        <v>0</v>
      </c>
      <c r="O63" s="90" t="n">
        <v>0</v>
      </c>
      <c r="P63" s="93" t="n">
        <v>0</v>
      </c>
      <c r="Q63" s="96" t="n">
        <v>0</v>
      </c>
      <c r="R63" s="99" t="n">
        <v>2</v>
      </c>
      <c r="S63" s="102" t="n">
        <v>0</v>
      </c>
      <c r="T63" s="105" t="n">
        <v>0</v>
      </c>
      <c r="U63" s="108" t="n">
        <v>0</v>
      </c>
      <c r="V63" s="111" t="n">
        <v>0</v>
      </c>
      <c r="W63" s="114" t="n">
        <v>0</v>
      </c>
      <c r="X63" s="117" t="n">
        <v>0</v>
      </c>
      <c r="Y63" s="120" t="n">
        <v>0</v>
      </c>
      <c r="Z63" s="123" t="n">
        <v>0</v>
      </c>
      <c r="AA63" s="127" t="n">
        <v>0</v>
      </c>
      <c r="AB63" s="130" t="n">
        <v>0</v>
      </c>
      <c r="AC63" s="133" t="n">
        <v>0</v>
      </c>
      <c r="AD63" s="136" t="n">
        <v>0</v>
      </c>
      <c r="AE63" s="138" t="n">
        <v>0</v>
      </c>
      <c r="AF63" s="142" t="n">
        <v>0</v>
      </c>
      <c r="AG63" s="145" t="n">
        <v>0</v>
      </c>
      <c r="AH63" s="148" t="n">
        <v>0</v>
      </c>
      <c r="AI63" s="151" t="n">
        <v>0</v>
      </c>
      <c r="AJ63" s="154" t="n">
        <v>0</v>
      </c>
      <c r="AK63" s="154" t="n">
        <v>0</v>
      </c>
      <c r="AL63" s="156" t="n">
        <v>0</v>
      </c>
      <c r="AM63" s="160" t="n">
        <v>0</v>
      </c>
      <c r="AN63" s="163" t="n">
        <v>0</v>
      </c>
      <c r="AO63" s="163" t="n">
        <v>0</v>
      </c>
      <c r="AP63" s="166" t="n">
        <v>0</v>
      </c>
      <c r="AQ63" s="169" t="n">
        <v>0</v>
      </c>
      <c r="AR63" s="172" t="n">
        <v>0</v>
      </c>
      <c r="AS63" s="175" t="n">
        <v>0</v>
      </c>
      <c r="AT63" s="178" t="n">
        <v>0</v>
      </c>
      <c r="AU63" s="178" t="n">
        <v>0</v>
      </c>
      <c r="AV63" s="181" t="n">
        <v>0</v>
      </c>
      <c r="AW63" s="183" t="n">
        <v>0</v>
      </c>
      <c r="AX63" s="184" t="n">
        <v>1</v>
      </c>
      <c r="AY63" s="187" t="n">
        <v>0</v>
      </c>
      <c r="AZ63" s="189" t="n">
        <v>0</v>
      </c>
      <c r="BA63" s="192" t="n">
        <v>0</v>
      </c>
      <c r="BB63" s="196" t="n">
        <v>0</v>
      </c>
      <c r="BC63" s="199" t="n">
        <v>0</v>
      </c>
      <c r="BD63" s="202" t="n">
        <v>0</v>
      </c>
      <c r="BE63" s="205" t="n">
        <v>0</v>
      </c>
      <c r="BF63" s="205" t="n">
        <v>0</v>
      </c>
      <c r="BG63" s="208" t="n">
        <v>0</v>
      </c>
      <c r="BH63" s="211" t="n">
        <v>0</v>
      </c>
      <c r="BI63" s="211" t="n">
        <v>0</v>
      </c>
      <c r="BJ63" s="211" t="n">
        <v>0</v>
      </c>
      <c r="BK63" s="211" t="n">
        <v>0</v>
      </c>
      <c r="BL63" s="211" t="n">
        <v>0</v>
      </c>
      <c r="BM63" s="211" t="n">
        <v>0</v>
      </c>
      <c r="BN63" s="215" t="n">
        <v>0</v>
      </c>
      <c r="BO63" s="215" t="n">
        <v>0</v>
      </c>
      <c r="BP63" s="215" t="n">
        <v>0</v>
      </c>
      <c r="BQ63" s="215" t="n">
        <v>0</v>
      </c>
    </row>
    <row r="64">
      <c r="A64" s="22">
        <f>"https://open.spotify.com/playlist/" &amp; C64</f>
        <v/>
      </c>
      <c r="B64" s="1" t="inlineStr">
        <is>
          <t>Jamaican WYFL Riddim 🇯🇲 | Dancehall Bashment Vibes | Amapiano 2026 🔥</t>
        </is>
      </c>
      <c r="C64" s="1" t="inlineStr">
        <is>
          <t>4qsBpHA92nP3xrsRtX4xxI</t>
        </is>
      </c>
      <c r="D64" s="3" t="n">
        <v>183</v>
      </c>
      <c r="E64" s="21" t="n">
        <v>0</v>
      </c>
      <c r="F64" s="25" t="n">
        <v>0</v>
      </c>
      <c r="G64" s="26" t="n">
        <v>2</v>
      </c>
      <c r="H64" s="28" t="n">
        <v>1</v>
      </c>
      <c r="I64" s="32" t="n">
        <v>0</v>
      </c>
      <c r="J64" s="73" t="n">
        <v>1</v>
      </c>
      <c r="K64" s="77" t="n">
        <v>2</v>
      </c>
      <c r="L64" s="80" t="n">
        <v>0</v>
      </c>
      <c r="M64" s="82" t="n">
        <v>1</v>
      </c>
      <c r="N64" s="85" t="n">
        <v>2</v>
      </c>
      <c r="O64" s="89" t="n">
        <v>2</v>
      </c>
      <c r="P64" s="91" t="n">
        <v>4</v>
      </c>
      <c r="Q64" s="94" t="n">
        <v>4</v>
      </c>
      <c r="R64" s="99" t="n">
        <v>3</v>
      </c>
      <c r="S64" s="101" t="n">
        <v>1</v>
      </c>
      <c r="T64" s="104" t="n">
        <v>3</v>
      </c>
      <c r="U64" s="106" t="n">
        <v>5</v>
      </c>
      <c r="V64" s="111" t="n">
        <v>0</v>
      </c>
      <c r="W64" s="113" t="n">
        <v>3</v>
      </c>
      <c r="X64" s="117" t="n">
        <v>0</v>
      </c>
      <c r="Y64" s="119" t="n">
        <v>3</v>
      </c>
      <c r="Z64" s="122" t="n">
        <v>5</v>
      </c>
      <c r="AA64" s="126" t="n">
        <v>3</v>
      </c>
      <c r="AB64" s="129" t="n">
        <v>1</v>
      </c>
      <c r="AC64" s="131" t="n">
        <v>6</v>
      </c>
      <c r="AD64" s="134" t="n">
        <v>7</v>
      </c>
      <c r="AE64" s="137" t="n">
        <v>4</v>
      </c>
      <c r="AF64" s="140" t="n">
        <v>4</v>
      </c>
      <c r="AG64" s="143" t="n">
        <v>4</v>
      </c>
      <c r="AH64" s="147" t="n">
        <v>2</v>
      </c>
      <c r="AI64" s="149" t="n">
        <v>5</v>
      </c>
      <c r="AJ64" s="152" t="n">
        <v>3</v>
      </c>
      <c r="AK64" s="153" t="n">
        <v>6</v>
      </c>
      <c r="AL64" s="157" t="n">
        <v>2</v>
      </c>
      <c r="AM64" s="159" t="n">
        <v>3</v>
      </c>
      <c r="AN64" s="161" t="n">
        <v>6</v>
      </c>
      <c r="AO64" s="161" t="n">
        <v>6</v>
      </c>
      <c r="AP64" s="164" t="n">
        <v>4</v>
      </c>
      <c r="AQ64" s="168" t="n">
        <v>3</v>
      </c>
      <c r="AR64" s="170" t="n">
        <v>5</v>
      </c>
      <c r="AS64" s="174" t="n">
        <v>3</v>
      </c>
      <c r="AT64" s="177" t="n">
        <v>2</v>
      </c>
      <c r="AU64" s="178" t="n">
        <v>0</v>
      </c>
      <c r="AV64" s="180" t="n">
        <v>1</v>
      </c>
      <c r="AW64" s="184" t="n">
        <v>1</v>
      </c>
      <c r="AX64" s="182" t="n">
        <v>4</v>
      </c>
      <c r="AY64" s="185" t="n">
        <v>4</v>
      </c>
      <c r="AZ64" s="188" t="n">
        <v>6</v>
      </c>
      <c r="BA64" s="191" t="n">
        <v>2</v>
      </c>
      <c r="BB64" s="194" t="n">
        <v>1</v>
      </c>
      <c r="BC64" s="198" t="n">
        <v>2</v>
      </c>
      <c r="BD64" s="201" t="n">
        <v>2</v>
      </c>
      <c r="BE64" s="204" t="n">
        <v>3</v>
      </c>
      <c r="BF64" s="203" t="n">
        <v>5</v>
      </c>
      <c r="BG64" s="207" t="n">
        <v>2</v>
      </c>
      <c r="BH64" s="209" t="n">
        <v>4</v>
      </c>
      <c r="BI64" s="209" t="n">
        <v>7</v>
      </c>
      <c r="BJ64" s="210" t="n">
        <v>1</v>
      </c>
      <c r="BK64" s="210" t="n">
        <v>1</v>
      </c>
      <c r="BL64" s="210" t="n">
        <v>3</v>
      </c>
      <c r="BM64" s="210" t="n">
        <v>2</v>
      </c>
      <c r="BN64" s="214" t="n">
        <v>3</v>
      </c>
      <c r="BO64" s="214" t="n">
        <v>3</v>
      </c>
      <c r="BP64" s="214" t="n">
        <v>3</v>
      </c>
      <c r="BQ64" s="215" t="n">
        <v>0</v>
      </c>
    </row>
    <row r="65">
      <c r="A65" s="22">
        <f>"https://open.spotify.com/playlist/" &amp; C65</f>
        <v/>
      </c>
      <c r="B65" s="1" t="inlineStr">
        <is>
          <t>Rowing Training — Stamina &amp; Power Tracks 🚣🔥</t>
        </is>
      </c>
      <c r="C65" s="1" t="inlineStr">
        <is>
          <t>2OLkQIMqgoDso4yi4YOR8r</t>
        </is>
      </c>
      <c r="D65" s="3" t="n">
        <v>22</v>
      </c>
      <c r="E65" s="21" t="n">
        <v>0</v>
      </c>
      <c r="F65" s="26" t="n">
        <v>1</v>
      </c>
      <c r="G65" s="25" t="n">
        <v>0</v>
      </c>
      <c r="H65" s="28" t="n">
        <v>1</v>
      </c>
      <c r="I65" s="31" t="n">
        <v>1</v>
      </c>
      <c r="J65" s="73" t="n">
        <v>1</v>
      </c>
      <c r="K65" s="76" t="n">
        <v>0</v>
      </c>
      <c r="L65" s="80" t="n">
        <v>0</v>
      </c>
      <c r="M65" s="82" t="n">
        <v>1</v>
      </c>
      <c r="N65" s="85" t="n">
        <v>2</v>
      </c>
      <c r="O65" s="89" t="n">
        <v>1</v>
      </c>
      <c r="P65" s="93" t="n">
        <v>0</v>
      </c>
      <c r="Q65" s="96" t="n">
        <v>0</v>
      </c>
      <c r="R65" s="98" t="n">
        <v>0</v>
      </c>
      <c r="S65" s="102" t="n">
        <v>0</v>
      </c>
      <c r="T65" s="104" t="n">
        <v>3</v>
      </c>
      <c r="U65" s="108" t="n">
        <v>0</v>
      </c>
      <c r="V65" s="111" t="n">
        <v>0</v>
      </c>
      <c r="W65" s="114" t="n">
        <v>0</v>
      </c>
      <c r="X65" s="117" t="n">
        <v>0</v>
      </c>
      <c r="Y65" s="120" t="n">
        <v>0</v>
      </c>
      <c r="Z65" s="123" t="n">
        <v>0</v>
      </c>
      <c r="AA65" s="127" t="n">
        <v>0</v>
      </c>
      <c r="AB65" s="129" t="n">
        <v>1</v>
      </c>
      <c r="AD65" s="136" t="n">
        <v>0</v>
      </c>
      <c r="AE65" s="139" t="n">
        <v>1</v>
      </c>
      <c r="AF65" s="141" t="n">
        <v>2</v>
      </c>
      <c r="AG65" s="145" t="n">
        <v>0</v>
      </c>
      <c r="AH65" s="148" t="n">
        <v>0</v>
      </c>
      <c r="AI65" s="151" t="n">
        <v>0</v>
      </c>
      <c r="AJ65" s="152" t="n">
        <v>2</v>
      </c>
      <c r="AK65" s="154" t="n">
        <v>0</v>
      </c>
      <c r="AL65" s="156" t="n">
        <v>0</v>
      </c>
      <c r="AM65" s="160" t="n">
        <v>0</v>
      </c>
      <c r="AN65" s="163" t="n">
        <v>0</v>
      </c>
      <c r="AO65" s="163" t="n">
        <v>0</v>
      </c>
      <c r="AP65" s="165" t="n">
        <v>1</v>
      </c>
      <c r="AQ65" s="169" t="n">
        <v>0</v>
      </c>
      <c r="AR65" s="172" t="n">
        <v>0</v>
      </c>
      <c r="AS65" s="175" t="n">
        <v>0</v>
      </c>
      <c r="AT65" s="178" t="n">
        <v>0</v>
      </c>
      <c r="AU65" s="178" t="n">
        <v>0</v>
      </c>
      <c r="AV65" s="181" t="n">
        <v>0</v>
      </c>
      <c r="AW65" s="183" t="n">
        <v>0</v>
      </c>
      <c r="AX65" s="183" t="n">
        <v>0</v>
      </c>
      <c r="AY65" s="187" t="n">
        <v>0</v>
      </c>
      <c r="AZ65" s="189" t="n">
        <v>0</v>
      </c>
      <c r="BA65" s="192" t="n">
        <v>0</v>
      </c>
      <c r="BB65" s="196" t="n">
        <v>0</v>
      </c>
      <c r="BC65" s="199" t="n">
        <v>0</v>
      </c>
      <c r="BD65" s="202" t="n">
        <v>0</v>
      </c>
      <c r="BE65" s="204" t="n">
        <v>1</v>
      </c>
      <c r="BF65" s="205" t="n">
        <v>0</v>
      </c>
      <c r="BG65" s="208" t="n">
        <v>0</v>
      </c>
      <c r="BH65" s="211" t="n">
        <v>0</v>
      </c>
      <c r="BI65" s="210" t="n">
        <v>1</v>
      </c>
      <c r="BJ65" s="211" t="n">
        <v>0</v>
      </c>
      <c r="BK65" s="211" t="n">
        <v>0</v>
      </c>
      <c r="BL65" s="211" t="n">
        <v>0</v>
      </c>
      <c r="BM65" s="211" t="n">
        <v>0</v>
      </c>
      <c r="BN65" s="215" t="n">
        <v>0</v>
      </c>
      <c r="BO65" s="215" t="n">
        <v>0</v>
      </c>
      <c r="BP65" s="215" t="n">
        <v>0</v>
      </c>
      <c r="BQ65" s="215" t="n">
        <v>0</v>
      </c>
    </row>
    <row r="66">
      <c r="A66" s="22">
        <f>"https://open.spotify.com/playlist/" &amp; C66</f>
        <v/>
      </c>
      <c r="B66" s="1" t="inlineStr">
        <is>
          <t>AFRICA BEATS 2026 🇿🇦🇳🇬 | Amapiano South Africa &amp; Nigeria 🔥 | Dancehall &amp; Afrobeats</t>
        </is>
      </c>
      <c r="C66" s="1" t="inlineStr">
        <is>
          <t>75LhrvDp08ui1e2jGBpZlY</t>
        </is>
      </c>
      <c r="D66" s="3" t="n">
        <v>97</v>
      </c>
      <c r="E66" s="21" t="n">
        <v>0</v>
      </c>
      <c r="F66" s="26" t="n">
        <v>1</v>
      </c>
      <c r="G66" s="25" t="n">
        <v>0</v>
      </c>
      <c r="H66" s="29" t="n">
        <v>0</v>
      </c>
      <c r="I66" s="32" t="n">
        <v>0</v>
      </c>
      <c r="J66" s="74" t="n">
        <v>0</v>
      </c>
      <c r="K66" s="76" t="n">
        <v>0</v>
      </c>
      <c r="L66" s="80" t="n">
        <v>0</v>
      </c>
      <c r="M66" s="83" t="n">
        <v>0</v>
      </c>
      <c r="N66" s="85" t="n">
        <v>1</v>
      </c>
      <c r="O66" s="89" t="n">
        <v>1</v>
      </c>
      <c r="P66" s="91" t="n">
        <v>5</v>
      </c>
      <c r="Q66" s="94" t="n">
        <v>5</v>
      </c>
      <c r="R66" s="99" t="n">
        <v>3</v>
      </c>
      <c r="S66" s="101" t="n">
        <v>3</v>
      </c>
      <c r="T66" s="104" t="n">
        <v>3</v>
      </c>
      <c r="U66" s="106" t="n">
        <v>4</v>
      </c>
      <c r="V66" s="110" t="n">
        <v>1</v>
      </c>
      <c r="W66" s="113" t="n">
        <v>2</v>
      </c>
      <c r="X66" s="115" t="n">
        <v>4</v>
      </c>
      <c r="Y66" s="119" t="n">
        <v>2</v>
      </c>
      <c r="Z66" s="122" t="n">
        <v>5</v>
      </c>
      <c r="AA66" s="126" t="n">
        <v>2</v>
      </c>
      <c r="AB66" s="129" t="n">
        <v>2</v>
      </c>
      <c r="AC66" s="132" t="n">
        <v>1</v>
      </c>
      <c r="AD66" s="134" t="n">
        <v>6</v>
      </c>
      <c r="AE66" s="138" t="n">
        <v>0</v>
      </c>
      <c r="AF66" s="141" t="n">
        <v>3</v>
      </c>
      <c r="AG66" s="144" t="n">
        <v>2</v>
      </c>
      <c r="AH66" s="146" t="n">
        <v>4</v>
      </c>
      <c r="AI66" s="150" t="n">
        <v>1</v>
      </c>
      <c r="AJ66" s="152" t="n">
        <v>1</v>
      </c>
      <c r="AK66" s="152" t="n">
        <v>1</v>
      </c>
      <c r="AL66" s="156" t="n">
        <v>0</v>
      </c>
      <c r="AM66" s="159" t="n">
        <v>3</v>
      </c>
      <c r="AN66" s="163" t="n">
        <v>-1</v>
      </c>
      <c r="AO66" s="163" t="n">
        <v>0</v>
      </c>
      <c r="AP66" s="165" t="n">
        <v>2</v>
      </c>
      <c r="AQ66" s="168" t="n">
        <v>2</v>
      </c>
      <c r="AR66" s="171" t="n">
        <v>2</v>
      </c>
      <c r="AS66" s="174" t="n">
        <v>1</v>
      </c>
      <c r="AT66" s="177" t="n">
        <v>1</v>
      </c>
      <c r="AU66" s="177" t="n">
        <v>1</v>
      </c>
      <c r="AV66" s="180" t="n">
        <v>2</v>
      </c>
      <c r="AW66" s="183" t="n">
        <v>0</v>
      </c>
      <c r="AX66" s="184" t="n">
        <v>2</v>
      </c>
      <c r="AY66" s="186" t="n">
        <v>2</v>
      </c>
      <c r="AZ66" s="190" t="n">
        <v>2</v>
      </c>
      <c r="BA66" s="191" t="n">
        <v>1</v>
      </c>
      <c r="BB66" s="196" t="n">
        <v>0</v>
      </c>
      <c r="BC66" s="198" t="n">
        <v>2</v>
      </c>
      <c r="BD66" s="201" t="n">
        <v>1</v>
      </c>
      <c r="BE66" s="205" t="n">
        <v>-1</v>
      </c>
      <c r="BF66" s="204" t="n">
        <v>1</v>
      </c>
      <c r="BG66" s="208" t="n">
        <v>0</v>
      </c>
      <c r="BH66" s="210" t="n">
        <v>2</v>
      </c>
      <c r="BI66" s="211" t="n">
        <v>0</v>
      </c>
      <c r="BJ66" s="211" t="n">
        <v>0</v>
      </c>
      <c r="BK66" s="210" t="n">
        <v>2</v>
      </c>
      <c r="BL66" s="210" t="n">
        <v>2</v>
      </c>
      <c r="BM66" s="210" t="n">
        <v>1</v>
      </c>
      <c r="BN66" s="214" t="n">
        <v>1</v>
      </c>
      <c r="BO66" s="214" t="n">
        <v>1</v>
      </c>
      <c r="BP66" s="215" t="n">
        <v>0</v>
      </c>
      <c r="BQ66" s="215" t="n">
        <v>0</v>
      </c>
    </row>
    <row r="67">
      <c r="A67" s="22">
        <f>"https://open.spotify.com/playlist/" &amp; C67</f>
        <v/>
      </c>
      <c r="B67" s="1" t="inlineStr">
        <is>
          <t>EXTREMO Running 150–160 BPM 🔥 Música Running 150–160 BPM | Playlist Tempo Run | Cardio</t>
        </is>
      </c>
      <c r="C67" s="1" t="inlineStr">
        <is>
          <t>5iRfA6444JvAfNdgHBqH6y</t>
        </is>
      </c>
      <c r="D67" s="3" t="n">
        <v>348</v>
      </c>
      <c r="E67" s="20" t="n">
        <v>1</v>
      </c>
      <c r="F67" s="26" t="n">
        <v>1</v>
      </c>
      <c r="G67" s="26" t="n">
        <v>1</v>
      </c>
      <c r="H67" s="29" t="n">
        <v>0</v>
      </c>
      <c r="I67" s="32" t="n">
        <v>0</v>
      </c>
      <c r="J67" s="73" t="n">
        <v>1</v>
      </c>
      <c r="K67" s="77" t="n">
        <v>1</v>
      </c>
      <c r="L67" s="79" t="n">
        <v>1</v>
      </c>
      <c r="M67" s="83" t="n">
        <v>0</v>
      </c>
      <c r="N67" s="84" t="n">
        <v>7</v>
      </c>
      <c r="O67" s="89" t="n">
        <v>2</v>
      </c>
      <c r="P67" s="91" t="n">
        <v>8</v>
      </c>
      <c r="Q67" s="94" t="n">
        <v>4</v>
      </c>
      <c r="R67" s="99" t="n">
        <v>3</v>
      </c>
      <c r="S67" s="100" t="n">
        <v>10</v>
      </c>
      <c r="T67" s="103" t="n">
        <v>4</v>
      </c>
      <c r="U67" s="106" t="n">
        <v>12</v>
      </c>
      <c r="V67" s="109" t="n">
        <v>20</v>
      </c>
      <c r="W67" s="112" t="n">
        <v>9</v>
      </c>
      <c r="X67" s="115" t="n">
        <v>11</v>
      </c>
      <c r="Y67" s="118" t="n">
        <v>5</v>
      </c>
      <c r="Z67" s="122" t="n">
        <v>11</v>
      </c>
      <c r="AA67" s="125" t="n">
        <v>7</v>
      </c>
      <c r="AB67" s="128" t="n">
        <v>12</v>
      </c>
      <c r="AC67" s="131" t="n">
        <v>4</v>
      </c>
      <c r="AD67" s="134" t="n">
        <v>4</v>
      </c>
      <c r="AE67" s="137" t="n">
        <v>6</v>
      </c>
      <c r="AF67" s="140" t="n">
        <v>6</v>
      </c>
      <c r="AG67" s="143" t="n">
        <v>7</v>
      </c>
      <c r="AH67" s="147" t="n">
        <v>3</v>
      </c>
      <c r="AI67" s="149" t="n">
        <v>6</v>
      </c>
      <c r="AJ67" s="153" t="n">
        <v>11</v>
      </c>
      <c r="AK67" s="153" t="n">
        <v>11</v>
      </c>
      <c r="AL67" s="155" t="n">
        <v>6</v>
      </c>
      <c r="AM67" s="158" t="n">
        <v>10</v>
      </c>
      <c r="AN67" s="161" t="n">
        <v>7</v>
      </c>
      <c r="AO67" s="161" t="n">
        <v>6</v>
      </c>
      <c r="AP67" s="164" t="n">
        <v>9</v>
      </c>
      <c r="AQ67" s="167" t="n">
        <v>10</v>
      </c>
      <c r="AR67" s="170" t="n">
        <v>5</v>
      </c>
      <c r="AS67" s="173" t="n">
        <v>4</v>
      </c>
      <c r="AT67" s="176" t="n">
        <v>8</v>
      </c>
      <c r="AU67" s="177" t="n">
        <v>3</v>
      </c>
      <c r="AV67" s="179" t="n">
        <v>6</v>
      </c>
      <c r="AW67" s="182" t="n">
        <v>4</v>
      </c>
      <c r="AX67" s="182" t="n">
        <v>9</v>
      </c>
      <c r="AY67" s="185" t="n">
        <v>5</v>
      </c>
      <c r="AZ67" s="189" t="n">
        <v>0</v>
      </c>
      <c r="BA67" s="193" t="n">
        <v>4</v>
      </c>
      <c r="BB67" s="195" t="n">
        <v>4</v>
      </c>
      <c r="BC67" s="197" t="n">
        <v>5</v>
      </c>
      <c r="BD67" s="201" t="n">
        <v>3</v>
      </c>
      <c r="BE67" s="203" t="n">
        <v>6</v>
      </c>
      <c r="BF67" s="204" t="n">
        <v>2</v>
      </c>
      <c r="BG67" s="206" t="n">
        <v>8</v>
      </c>
      <c r="BH67" s="209" t="n">
        <v>5</v>
      </c>
      <c r="BI67" s="209" t="n">
        <v>6</v>
      </c>
      <c r="BJ67" s="210" t="n">
        <v>2</v>
      </c>
      <c r="BK67" s="210" t="n">
        <v>3</v>
      </c>
      <c r="BL67" s="209" t="n">
        <v>4</v>
      </c>
      <c r="BM67" s="210" t="n">
        <v>2</v>
      </c>
      <c r="BN67" s="216" t="n">
        <v>5</v>
      </c>
      <c r="BO67" s="214" t="n">
        <v>2</v>
      </c>
      <c r="BP67" s="215" t="n">
        <v>0</v>
      </c>
      <c r="BQ67" s="216" t="n">
        <v>4</v>
      </c>
    </row>
    <row r="68">
      <c r="A68" s="22">
        <f>"https://open.spotify.com/playlist/" &amp; C68</f>
        <v/>
      </c>
      <c r="B68" s="1" t="inlineStr">
        <is>
          <t>INSANE Running 140–150 BPM 🔥 150–160 BPM Running Music | Tempo Run Playlist | Cardio Training Songs</t>
        </is>
      </c>
      <c r="C68" s="1" t="inlineStr">
        <is>
          <t>3Jphym4vBDJbS3JSs3mJZY</t>
        </is>
      </c>
      <c r="D68" s="3" t="n">
        <v>281</v>
      </c>
      <c r="E68" s="21" t="n">
        <v>0</v>
      </c>
      <c r="F68" s="25" t="n">
        <v>0</v>
      </c>
      <c r="G68" s="25" t="n">
        <v>0</v>
      </c>
      <c r="H68" s="29" t="n">
        <v>0</v>
      </c>
      <c r="I68" s="31" t="n">
        <v>1</v>
      </c>
      <c r="J68" s="74" t="n">
        <v>0</v>
      </c>
      <c r="K68" s="76" t="n">
        <v>0</v>
      </c>
      <c r="L68" s="79" t="n">
        <v>1</v>
      </c>
      <c r="M68" s="82" t="n">
        <v>3</v>
      </c>
      <c r="N68" s="85" t="n">
        <v>2</v>
      </c>
      <c r="O68" s="88" t="n">
        <v>4</v>
      </c>
      <c r="P68" s="92" t="n">
        <v>1</v>
      </c>
      <c r="Q68" s="95" t="n">
        <v>3</v>
      </c>
      <c r="R68" s="99" t="n">
        <v>3</v>
      </c>
      <c r="S68" s="100" t="n">
        <v>4</v>
      </c>
      <c r="T68" s="104" t="n">
        <v>3</v>
      </c>
      <c r="U68" s="107" t="n">
        <v>3</v>
      </c>
      <c r="V68" s="109" t="n">
        <v>5</v>
      </c>
      <c r="W68" s="112" t="n">
        <v>7</v>
      </c>
      <c r="X68" s="115" t="n">
        <v>5</v>
      </c>
      <c r="Y68" s="118" t="n">
        <v>5</v>
      </c>
      <c r="Z68" s="122" t="n">
        <v>4</v>
      </c>
      <c r="AA68" s="125" t="n">
        <v>4</v>
      </c>
      <c r="AB68" s="128" t="n">
        <v>5</v>
      </c>
      <c r="AC68" s="131" t="n">
        <v>8</v>
      </c>
      <c r="AD68" s="134" t="n">
        <v>9</v>
      </c>
      <c r="AE68" s="137" t="n">
        <v>4</v>
      </c>
      <c r="AF68" s="140" t="n">
        <v>7</v>
      </c>
      <c r="AG68" s="143" t="n">
        <v>10</v>
      </c>
      <c r="AH68" s="146" t="n">
        <v>5</v>
      </c>
      <c r="AI68" s="150" t="n">
        <v>3</v>
      </c>
      <c r="AJ68" s="153" t="n">
        <v>7</v>
      </c>
      <c r="AK68" s="153" t="n">
        <v>7</v>
      </c>
      <c r="AL68" s="155" t="n">
        <v>7</v>
      </c>
      <c r="AM68" s="158" t="n">
        <v>5</v>
      </c>
      <c r="AN68" s="161" t="n">
        <v>10</v>
      </c>
      <c r="AO68" s="161" t="n">
        <v>9</v>
      </c>
      <c r="AP68" s="164" t="n">
        <v>6</v>
      </c>
      <c r="AQ68" s="168" t="n">
        <v>2</v>
      </c>
      <c r="AR68" s="170" t="n">
        <v>6</v>
      </c>
      <c r="AS68" s="174" t="n">
        <v>2</v>
      </c>
      <c r="AT68" s="176" t="n">
        <v>6</v>
      </c>
      <c r="AU68" s="176" t="n">
        <v>6</v>
      </c>
      <c r="AV68" s="180" t="n">
        <v>1</v>
      </c>
      <c r="AW68" s="184" t="n">
        <v>3</v>
      </c>
      <c r="AX68" s="182" t="n">
        <v>8</v>
      </c>
      <c r="AY68" s="185" t="n">
        <v>5</v>
      </c>
      <c r="AZ68" s="188" t="n">
        <v>5</v>
      </c>
      <c r="BA68" s="193" t="n">
        <v>4</v>
      </c>
      <c r="BB68" s="194" t="n">
        <v>2</v>
      </c>
      <c r="BC68" s="198" t="n">
        <v>1</v>
      </c>
      <c r="BD68" s="200" t="n">
        <v>7</v>
      </c>
      <c r="BE68" s="203" t="n">
        <v>5</v>
      </c>
      <c r="BF68" s="203" t="n">
        <v>4</v>
      </c>
      <c r="BG68" s="206" t="n">
        <v>9</v>
      </c>
      <c r="BH68" s="210" t="n">
        <v>1</v>
      </c>
      <c r="BI68" s="209" t="n">
        <v>9</v>
      </c>
      <c r="BJ68" s="210" t="n">
        <v>2</v>
      </c>
      <c r="BK68" s="209" t="n">
        <v>7</v>
      </c>
      <c r="BL68" s="210" t="n">
        <v>3</v>
      </c>
      <c r="BM68" s="209" t="n">
        <v>6</v>
      </c>
      <c r="BN68" s="216" t="n">
        <v>7</v>
      </c>
      <c r="BO68" s="216" t="n">
        <v>5</v>
      </c>
      <c r="BP68" s="215" t="n">
        <v>0</v>
      </c>
      <c r="BQ68" s="214" t="n">
        <v>3</v>
      </c>
    </row>
    <row r="69">
      <c r="A69" s="22">
        <f>"https://open.spotify.com/playlist/" &amp; C69</f>
        <v/>
      </c>
      <c r="B69" s="1" t="inlineStr">
        <is>
          <t>INTIMATE Summer Romance 💛 | Summer Aesthetic Vibes</t>
        </is>
      </c>
      <c r="C69" s="1" t="inlineStr">
        <is>
          <t>1nv37y7ebiEMy52ml8klVt</t>
        </is>
      </c>
      <c r="D69" s="3" t="n">
        <v>13</v>
      </c>
      <c r="E69" s="20" t="n">
        <v>1</v>
      </c>
      <c r="F69" s="26" t="n">
        <v>1</v>
      </c>
      <c r="G69" s="25" t="n">
        <v>0</v>
      </c>
      <c r="H69" s="28" t="n">
        <v>1</v>
      </c>
      <c r="I69" s="32" t="n">
        <v>0</v>
      </c>
      <c r="J69" s="74" t="n">
        <v>0</v>
      </c>
      <c r="K69" s="77" t="n">
        <v>1</v>
      </c>
      <c r="L69" s="80" t="n">
        <v>0</v>
      </c>
      <c r="M69" s="83" t="n">
        <v>0</v>
      </c>
      <c r="N69" s="86" t="n">
        <v>0</v>
      </c>
      <c r="O69" s="89" t="n">
        <v>1</v>
      </c>
      <c r="P69" s="93" t="n">
        <v>0</v>
      </c>
      <c r="Q69" s="96" t="n">
        <v>0</v>
      </c>
      <c r="R69" s="98" t="n">
        <v>0</v>
      </c>
      <c r="S69" s="102" t="n">
        <v>0</v>
      </c>
      <c r="T69" s="105" t="n">
        <v>0</v>
      </c>
      <c r="U69" s="107" t="n">
        <v>1</v>
      </c>
      <c r="V69" s="111" t="n">
        <v>0</v>
      </c>
      <c r="W69" s="114" t="n">
        <v>0</v>
      </c>
      <c r="X69" s="116" t="n">
        <v>1</v>
      </c>
      <c r="Y69" s="120" t="n">
        <v>0</v>
      </c>
      <c r="Z69" s="123" t="n">
        <v>0</v>
      </c>
      <c r="AA69" s="127" t="n">
        <v>0</v>
      </c>
      <c r="AB69" s="130" t="n">
        <v>0</v>
      </c>
      <c r="AC69" s="133" t="n">
        <v>0</v>
      </c>
      <c r="AD69" s="136" t="n">
        <v>0</v>
      </c>
      <c r="AE69" s="138" t="n">
        <v>0</v>
      </c>
      <c r="AF69" s="142" t="n">
        <v>0</v>
      </c>
      <c r="AG69" s="145" t="n">
        <v>0</v>
      </c>
      <c r="AH69" s="148" t="n">
        <v>0</v>
      </c>
      <c r="AI69" s="151" t="n">
        <v>0</v>
      </c>
      <c r="AJ69" s="154" t="n">
        <v>0</v>
      </c>
      <c r="AK69" s="154" t="n">
        <v>0</v>
      </c>
      <c r="AL69" s="156" t="n">
        <v>0</v>
      </c>
      <c r="AM69" s="159" t="n">
        <v>1</v>
      </c>
      <c r="AN69" s="163" t="n">
        <v>0</v>
      </c>
      <c r="AO69" s="163" t="n">
        <v>0</v>
      </c>
      <c r="AP69" s="166" t="n">
        <v>0</v>
      </c>
      <c r="AQ69" s="169" t="n">
        <v>0</v>
      </c>
      <c r="AR69" s="172" t="n">
        <v>0</v>
      </c>
      <c r="AS69" s="174" t="n">
        <v>1</v>
      </c>
      <c r="AT69" s="177" t="n">
        <v>1</v>
      </c>
      <c r="AU69" s="178" t="n">
        <v>0</v>
      </c>
      <c r="AV69" s="181" t="n">
        <v>0</v>
      </c>
      <c r="AW69" s="183" t="n">
        <v>0</v>
      </c>
      <c r="AX69" s="183" t="n">
        <v>0</v>
      </c>
      <c r="AY69" s="187" t="n">
        <v>0</v>
      </c>
      <c r="AZ69" s="189" t="n">
        <v>0</v>
      </c>
      <c r="BA69" s="192" t="n">
        <v>0</v>
      </c>
      <c r="BB69" s="196" t="n">
        <v>0</v>
      </c>
      <c r="BC69" s="199" t="n">
        <v>0</v>
      </c>
      <c r="BD69" s="202" t="n">
        <v>0</v>
      </c>
      <c r="BE69" s="205" t="n">
        <v>0</v>
      </c>
      <c r="BF69" s="205" t="n">
        <v>0</v>
      </c>
      <c r="BG69" s="208" t="n">
        <v>0</v>
      </c>
      <c r="BH69" s="211" t="n">
        <v>0</v>
      </c>
      <c r="BI69" s="211" t="n">
        <v>0</v>
      </c>
      <c r="BJ69" s="211" t="n">
        <v>0</v>
      </c>
      <c r="BK69" s="211" t="n">
        <v>0</v>
      </c>
      <c r="BL69" s="211" t="n">
        <v>0</v>
      </c>
      <c r="BM69" s="211" t="n">
        <v>0</v>
      </c>
      <c r="BN69" s="214" t="n">
        <v>1</v>
      </c>
      <c r="BO69" s="215" t="n">
        <v>0</v>
      </c>
      <c r="BP69" s="215" t="n">
        <v>0</v>
      </c>
      <c r="BQ69" s="215" t="n">
        <v>0</v>
      </c>
    </row>
    <row r="70">
      <c r="A70" s="22">
        <f>"https://open.spotify.com/playlist/" &amp; C70</f>
        <v/>
      </c>
      <c r="B70" s="1" t="inlineStr">
        <is>
          <t>GOLDEN Summer Sunset Vibes 🌅 | Beach Bonfire Nights</t>
        </is>
      </c>
      <c r="C70" s="1" t="inlineStr">
        <is>
          <t>5q4J1inAvJvM2h2WWIgle9</t>
        </is>
      </c>
      <c r="D70" s="3" t="n">
        <v>25</v>
      </c>
      <c r="E70" s="20" t="n">
        <v>1</v>
      </c>
      <c r="F70" s="25" t="n">
        <v>0</v>
      </c>
      <c r="G70" s="26" t="n">
        <v>1</v>
      </c>
      <c r="H70" s="29" t="n">
        <v>0</v>
      </c>
      <c r="I70" s="31" t="n">
        <v>2</v>
      </c>
      <c r="J70" s="74" t="n">
        <v>0</v>
      </c>
      <c r="K70" s="76" t="n">
        <v>0</v>
      </c>
      <c r="L70" s="80" t="n">
        <v>0</v>
      </c>
      <c r="M70" s="82" t="n">
        <v>1</v>
      </c>
      <c r="N70" s="86" t="n">
        <v>0</v>
      </c>
      <c r="O70" s="89" t="n">
        <v>1</v>
      </c>
      <c r="P70" s="92" t="n">
        <v>2</v>
      </c>
      <c r="Q70" s="96" t="n">
        <v>0</v>
      </c>
      <c r="R70" s="98" t="n">
        <v>0</v>
      </c>
      <c r="S70" s="101" t="n">
        <v>1</v>
      </c>
      <c r="T70" s="104" t="n">
        <v>1</v>
      </c>
      <c r="U70" s="107" t="n">
        <v>1</v>
      </c>
      <c r="V70" s="110" t="n">
        <v>1</v>
      </c>
      <c r="W70" s="113" t="n">
        <v>1</v>
      </c>
      <c r="X70" s="117" t="n">
        <v>0</v>
      </c>
      <c r="Y70" s="119" t="n">
        <v>1</v>
      </c>
      <c r="Z70" s="123" t="n">
        <v>0</v>
      </c>
      <c r="AA70" s="126" t="n">
        <v>1</v>
      </c>
      <c r="AB70" s="129" t="n">
        <v>1</v>
      </c>
      <c r="AC70" s="132" t="n">
        <v>1</v>
      </c>
      <c r="AD70" s="136" t="n">
        <v>0</v>
      </c>
      <c r="AE70" s="138" t="n">
        <v>0</v>
      </c>
      <c r="AF70" s="142" t="n">
        <v>0</v>
      </c>
      <c r="AG70" s="144" t="n">
        <v>1</v>
      </c>
      <c r="AH70" s="148" t="n">
        <v>0</v>
      </c>
      <c r="AI70" s="150" t="n">
        <v>2</v>
      </c>
      <c r="AJ70" s="154" t="n">
        <v>0</v>
      </c>
      <c r="AK70" s="154" t="n">
        <v>0</v>
      </c>
      <c r="AL70" s="157" t="n">
        <v>1</v>
      </c>
      <c r="AM70" s="159" t="n">
        <v>1</v>
      </c>
      <c r="AN70" s="163" t="n">
        <v>0</v>
      </c>
      <c r="AO70" s="163" t="n">
        <v>0</v>
      </c>
      <c r="AP70" s="166" t="n">
        <v>0</v>
      </c>
      <c r="AQ70" s="168" t="n">
        <v>1</v>
      </c>
      <c r="AR70" s="172" t="n">
        <v>0</v>
      </c>
      <c r="AS70" s="175" t="n">
        <v>0</v>
      </c>
      <c r="AT70" s="178" t="n">
        <v>0</v>
      </c>
      <c r="AU70" s="178" t="n">
        <v>0</v>
      </c>
      <c r="AV70" s="181" t="n">
        <v>0</v>
      </c>
      <c r="AW70" s="183" t="n">
        <v>0</v>
      </c>
      <c r="AX70" s="183" t="n">
        <v>0</v>
      </c>
      <c r="AY70" s="187" t="n">
        <v>0</v>
      </c>
      <c r="AZ70" s="189" t="n">
        <v>0</v>
      </c>
      <c r="BA70" s="192" t="n">
        <v>0</v>
      </c>
      <c r="BB70" s="196" t="n">
        <v>0</v>
      </c>
      <c r="BC70" s="199" t="n">
        <v>0</v>
      </c>
      <c r="BD70" s="202" t="n">
        <v>0</v>
      </c>
      <c r="BE70" s="205" t="n">
        <v>0</v>
      </c>
      <c r="BF70" s="205" t="n">
        <v>0</v>
      </c>
      <c r="BG70" s="208" t="n">
        <v>0</v>
      </c>
      <c r="BH70" s="211" t="n">
        <v>0</v>
      </c>
      <c r="BI70" s="211" t="n">
        <v>0</v>
      </c>
      <c r="BJ70" s="211" t="n">
        <v>0</v>
      </c>
      <c r="BK70" s="211" t="n">
        <v>0</v>
      </c>
      <c r="BL70" s="211" t="n">
        <v>0</v>
      </c>
      <c r="BM70" s="211" t="n">
        <v>0</v>
      </c>
      <c r="BN70" s="215" t="n">
        <v>0</v>
      </c>
      <c r="BO70" s="215" t="n">
        <v>0</v>
      </c>
      <c r="BP70" s="215" t="n">
        <v>0</v>
      </c>
      <c r="BQ70" s="215" t="n">
        <v>0</v>
      </c>
    </row>
    <row r="71">
      <c r="A71" s="22">
        <f>"https://open.spotify.com/playlist/" &amp; C71</f>
        <v/>
      </c>
      <c r="B71" s="1" t="inlineStr">
        <is>
          <t>SPLASHY Pool Party 🍹 | Poolside Cocktails &amp; Summer Vibes</t>
        </is>
      </c>
      <c r="C71" s="1" t="inlineStr">
        <is>
          <t>6hOHKvLsUvxJvMxD8vkGwB</t>
        </is>
      </c>
      <c r="D71" s="3" t="n">
        <v>30</v>
      </c>
      <c r="E71" s="21" t="n">
        <v>0</v>
      </c>
      <c r="F71" s="25" t="n">
        <v>0</v>
      </c>
      <c r="G71" s="25" t="n">
        <v>0</v>
      </c>
      <c r="H71" s="29" t="n">
        <v>0</v>
      </c>
      <c r="I71" s="32" t="n">
        <v>0</v>
      </c>
      <c r="J71" s="73" t="n">
        <v>1</v>
      </c>
      <c r="K71" s="76" t="n">
        <v>0</v>
      </c>
      <c r="L71" s="79" t="n">
        <v>2</v>
      </c>
      <c r="M71" s="83" t="n">
        <v>0</v>
      </c>
      <c r="N71" s="86" t="n">
        <v>0</v>
      </c>
      <c r="O71" s="90" t="n">
        <v>0</v>
      </c>
      <c r="P71" s="93" t="n">
        <v>0</v>
      </c>
      <c r="Q71" s="95" t="n">
        <v>1</v>
      </c>
      <c r="R71" s="97" t="n">
        <v>4</v>
      </c>
      <c r="S71" s="101" t="n">
        <v>2</v>
      </c>
      <c r="T71" s="105" t="n">
        <v>0</v>
      </c>
      <c r="U71" s="107" t="n">
        <v>3</v>
      </c>
      <c r="V71" s="111" t="n">
        <v>0</v>
      </c>
      <c r="W71" s="113" t="n">
        <v>1</v>
      </c>
      <c r="X71" s="117" t="n">
        <v>0</v>
      </c>
      <c r="Y71" s="119" t="n">
        <v>2</v>
      </c>
      <c r="Z71" s="121" t="n">
        <v>3</v>
      </c>
      <c r="AA71" s="127" t="n">
        <v>0</v>
      </c>
      <c r="AB71" s="130" t="n">
        <v>0</v>
      </c>
      <c r="AC71" s="133" t="n">
        <v>0</v>
      </c>
      <c r="AD71" s="136" t="n">
        <v>0</v>
      </c>
      <c r="AE71" s="138" t="n">
        <v>0</v>
      </c>
      <c r="AF71" s="141" t="n">
        <v>1</v>
      </c>
      <c r="AG71" s="144" t="n">
        <v>2</v>
      </c>
      <c r="AH71" s="148" t="n">
        <v>0</v>
      </c>
      <c r="AI71" s="151" t="n">
        <v>0</v>
      </c>
      <c r="AJ71" s="152" t="n">
        <v>1</v>
      </c>
      <c r="AK71" s="154" t="n">
        <v>0</v>
      </c>
      <c r="AL71" s="156" t="n">
        <v>0</v>
      </c>
      <c r="AM71" s="160" t="n">
        <v>0</v>
      </c>
      <c r="AN71" s="162" t="n">
        <v>1</v>
      </c>
      <c r="AO71" s="162" t="n">
        <v>0</v>
      </c>
      <c r="AP71" s="166" t="n">
        <v>0</v>
      </c>
      <c r="AQ71" s="169" t="n">
        <v>0</v>
      </c>
      <c r="AR71" s="172" t="n">
        <v>0</v>
      </c>
      <c r="AS71" s="175" t="n">
        <v>0</v>
      </c>
      <c r="AT71" s="178" t="n">
        <v>0</v>
      </c>
      <c r="AU71" s="178" t="n">
        <v>0</v>
      </c>
      <c r="AV71" s="181" t="n">
        <v>0</v>
      </c>
      <c r="AW71" s="184" t="n">
        <v>1</v>
      </c>
      <c r="AX71" s="183" t="n">
        <v>0</v>
      </c>
      <c r="AY71" s="186" t="n">
        <v>1</v>
      </c>
      <c r="AZ71" s="189" t="n">
        <v>0</v>
      </c>
      <c r="BA71" s="192" t="n">
        <v>0</v>
      </c>
      <c r="BB71" s="196" t="n">
        <v>0</v>
      </c>
      <c r="BC71" s="199" t="n">
        <v>0</v>
      </c>
      <c r="BD71" s="202" t="n">
        <v>0</v>
      </c>
      <c r="BE71" s="205" t="n">
        <v>0</v>
      </c>
      <c r="BF71" s="205" t="n">
        <v>0</v>
      </c>
      <c r="BG71" s="208" t="n">
        <v>0</v>
      </c>
      <c r="BH71" s="210" t="n">
        <v>1</v>
      </c>
      <c r="BI71" s="211" t="n">
        <v>0</v>
      </c>
      <c r="BJ71" s="211" t="n">
        <v>0</v>
      </c>
      <c r="BK71" s="211" t="n">
        <v>0</v>
      </c>
      <c r="BL71" s="211" t="n">
        <v>0</v>
      </c>
      <c r="BM71" s="211" t="n">
        <v>0</v>
      </c>
      <c r="BN71" s="215" t="n">
        <v>0</v>
      </c>
      <c r="BO71" s="214" t="n">
        <v>1</v>
      </c>
      <c r="BP71" s="215" t="n">
        <v>0</v>
      </c>
      <c r="BQ71" s="215" t="n">
        <v>0</v>
      </c>
    </row>
    <row r="72">
      <c r="A72" s="22">
        <f>"https://open.spotify.com/playlist/" &amp; C72</f>
        <v/>
      </c>
      <c r="B72" s="1" t="inlineStr">
        <is>
          <t>Amapinao Riddim 2026 | Jamaican Dancehall | African Bashment Party 🔥</t>
        </is>
      </c>
      <c r="C72" s="1" t="inlineStr">
        <is>
          <t>1t28ivA7Ze8WnkqIKjYniA</t>
        </is>
      </c>
      <c r="D72" s="3" t="n">
        <v>83</v>
      </c>
      <c r="E72" s="21" t="n">
        <v>0</v>
      </c>
      <c r="F72" s="26" t="n">
        <v>1</v>
      </c>
      <c r="G72" s="25" t="n">
        <v>0</v>
      </c>
      <c r="H72" s="28" t="n">
        <v>1</v>
      </c>
      <c r="I72" s="32" t="n">
        <v>0</v>
      </c>
      <c r="J72" s="74" t="n">
        <v>0</v>
      </c>
      <c r="K72" s="76" t="n">
        <v>0</v>
      </c>
      <c r="L72" s="80" t="n">
        <v>0</v>
      </c>
      <c r="M72" s="83" t="n">
        <v>0</v>
      </c>
      <c r="N72" s="85" t="n">
        <v>2</v>
      </c>
      <c r="O72" s="89" t="n">
        <v>1</v>
      </c>
      <c r="P72" s="92" t="n">
        <v>2</v>
      </c>
      <c r="Q72" s="95" t="n">
        <v>1</v>
      </c>
      <c r="R72" s="97" t="n">
        <v>4</v>
      </c>
      <c r="S72" s="101" t="n">
        <v>1</v>
      </c>
      <c r="T72" s="105" t="n">
        <v>0</v>
      </c>
      <c r="U72" s="108" t="n">
        <v>0</v>
      </c>
      <c r="V72" s="110" t="n">
        <v>1</v>
      </c>
      <c r="W72" s="114" t="n">
        <v>0</v>
      </c>
      <c r="X72" s="116" t="n">
        <v>1</v>
      </c>
      <c r="Y72" s="119" t="n">
        <v>2</v>
      </c>
      <c r="Z72" s="121" t="n">
        <v>2</v>
      </c>
      <c r="AA72" s="126" t="n">
        <v>1</v>
      </c>
      <c r="AB72" s="129" t="n">
        <v>1</v>
      </c>
      <c r="AC72" s="133" t="n">
        <v>0</v>
      </c>
      <c r="AD72" s="135" t="n">
        <v>2</v>
      </c>
      <c r="AE72" s="137" t="n">
        <v>4</v>
      </c>
      <c r="AF72" s="140" t="n">
        <v>5</v>
      </c>
      <c r="AG72" s="144" t="n">
        <v>3</v>
      </c>
      <c r="AH72" s="147" t="n">
        <v>3</v>
      </c>
      <c r="AI72" s="150" t="n">
        <v>2</v>
      </c>
      <c r="AJ72" s="152" t="n">
        <v>1</v>
      </c>
      <c r="AK72" s="154" t="n">
        <v>0</v>
      </c>
      <c r="AL72" s="157" t="n">
        <v>2</v>
      </c>
      <c r="AM72" s="159" t="n">
        <v>3</v>
      </c>
      <c r="AN72" s="161" t="n">
        <v>2</v>
      </c>
      <c r="AO72" s="161" t="n">
        <v>2</v>
      </c>
      <c r="AP72" s="164" t="n">
        <v>5</v>
      </c>
      <c r="AQ72" s="168" t="n">
        <v>1</v>
      </c>
      <c r="AR72" s="171" t="n">
        <v>2</v>
      </c>
      <c r="AS72" s="174" t="n">
        <v>3</v>
      </c>
      <c r="AT72" s="177" t="n">
        <v>2</v>
      </c>
      <c r="AU72" s="177" t="n">
        <v>1</v>
      </c>
      <c r="AV72" s="180" t="n">
        <v>3</v>
      </c>
      <c r="AW72" s="184" t="n">
        <v>1</v>
      </c>
      <c r="AX72" s="183" t="n">
        <v>0</v>
      </c>
      <c r="AY72" s="186" t="n">
        <v>2</v>
      </c>
      <c r="AZ72" s="190" t="n">
        <v>2</v>
      </c>
      <c r="BA72" s="191" t="n">
        <v>2</v>
      </c>
      <c r="BB72" s="194" t="n">
        <v>2</v>
      </c>
      <c r="BC72" s="199" t="n">
        <v>0</v>
      </c>
      <c r="BD72" s="202" t="n">
        <v>0</v>
      </c>
      <c r="BE72" s="204" t="n">
        <v>2</v>
      </c>
      <c r="BF72" s="204" t="n">
        <v>1</v>
      </c>
      <c r="BG72" s="207" t="n">
        <v>1</v>
      </c>
      <c r="BH72" s="211" t="n">
        <v>0</v>
      </c>
      <c r="BI72" s="211" t="n">
        <v>0</v>
      </c>
      <c r="BJ72" s="211" t="n">
        <v>0</v>
      </c>
      <c r="BK72" s="211" t="n">
        <v>0</v>
      </c>
      <c r="BL72" s="210" t="n">
        <v>1</v>
      </c>
      <c r="BM72" s="211" t="n">
        <v>0</v>
      </c>
      <c r="BN72" s="215" t="n">
        <v>0</v>
      </c>
      <c r="BO72" s="214" t="n">
        <v>1</v>
      </c>
      <c r="BP72" s="215" t="n">
        <v>0</v>
      </c>
      <c r="BQ72" s="215" t="n">
        <v>0</v>
      </c>
    </row>
    <row r="73">
      <c r="A73" s="22">
        <f>"https://open.spotify.com/playlist/" &amp; C73</f>
        <v/>
      </c>
      <c r="B73" s="1" t="inlineStr">
        <is>
          <t>E11EVEN, Omnia &amp; Pacha Vibes | EPIC Global Club Anthems 🔥</t>
        </is>
      </c>
      <c r="C73" s="1" t="inlineStr">
        <is>
          <t>0MxmltpIjYhDVEjsJ0yzrh</t>
        </is>
      </c>
      <c r="D73" s="3" t="n">
        <v>9</v>
      </c>
      <c r="E73" s="21" t="n">
        <v>0</v>
      </c>
      <c r="F73" s="25" t="n">
        <v>0</v>
      </c>
      <c r="G73" s="25" t="n">
        <v>0</v>
      </c>
      <c r="H73" s="29" t="n">
        <v>0</v>
      </c>
      <c r="I73" s="32" t="n">
        <v>0</v>
      </c>
      <c r="J73" s="74" t="n">
        <v>0</v>
      </c>
      <c r="K73" s="76" t="n">
        <v>0</v>
      </c>
      <c r="L73" s="80" t="n">
        <v>0</v>
      </c>
      <c r="M73" s="82" t="n">
        <v>1</v>
      </c>
      <c r="N73" s="85" t="n">
        <v>1</v>
      </c>
      <c r="O73" s="90" t="n">
        <v>0</v>
      </c>
      <c r="P73" s="93" t="n">
        <v>0</v>
      </c>
      <c r="Q73" s="95" t="n">
        <v>1</v>
      </c>
      <c r="R73" s="98" t="n">
        <v>0</v>
      </c>
      <c r="S73" s="102" t="n">
        <v>0</v>
      </c>
      <c r="T73" s="105" t="n">
        <v>0</v>
      </c>
      <c r="U73" s="108" t="n">
        <v>0</v>
      </c>
      <c r="V73" s="111" t="n">
        <v>0</v>
      </c>
      <c r="W73" s="114" t="n">
        <v>0</v>
      </c>
      <c r="X73" s="117" t="n">
        <v>0</v>
      </c>
      <c r="Y73" s="120" t="n">
        <v>0</v>
      </c>
      <c r="Z73" s="121" t="n">
        <v>1</v>
      </c>
      <c r="AA73" s="127" t="n">
        <v>0</v>
      </c>
      <c r="AB73" s="130" t="n">
        <v>0</v>
      </c>
      <c r="AC73" s="133" t="n">
        <v>0</v>
      </c>
      <c r="AD73" s="135" t="n">
        <v>1</v>
      </c>
      <c r="AE73" s="138" t="n">
        <v>0</v>
      </c>
      <c r="AF73" s="142" t="n">
        <v>0</v>
      </c>
      <c r="AG73" s="145" t="n">
        <v>0</v>
      </c>
      <c r="AH73" s="147" t="n">
        <v>1</v>
      </c>
      <c r="AI73" s="151" t="n">
        <v>0</v>
      </c>
      <c r="AJ73" s="154" t="n">
        <v>0</v>
      </c>
      <c r="AK73" s="154" t="n">
        <v>0</v>
      </c>
      <c r="AL73" s="156" t="n">
        <v>0</v>
      </c>
      <c r="AM73" s="160" t="n">
        <v>0</v>
      </c>
      <c r="AN73" s="163" t="n">
        <v>0</v>
      </c>
      <c r="AO73" s="163" t="n">
        <v>0</v>
      </c>
      <c r="AP73" s="166" t="n">
        <v>0</v>
      </c>
      <c r="AQ73" s="169" t="n">
        <v>0</v>
      </c>
      <c r="AR73" s="171" t="n">
        <v>2</v>
      </c>
      <c r="AS73" s="175" t="n">
        <v>0</v>
      </c>
      <c r="AT73" s="178" t="n">
        <v>0</v>
      </c>
      <c r="AU73" s="178" t="n">
        <v>0</v>
      </c>
      <c r="AV73" s="181" t="n">
        <v>0</v>
      </c>
      <c r="AW73" s="183" t="n">
        <v>0</v>
      </c>
      <c r="AX73" s="183" t="n">
        <v>0</v>
      </c>
      <c r="AY73" s="187" t="n">
        <v>0</v>
      </c>
      <c r="AZ73" s="189" t="n">
        <v>0</v>
      </c>
      <c r="BA73" s="192" t="n">
        <v>0</v>
      </c>
      <c r="BB73" s="196" t="n">
        <v>0</v>
      </c>
      <c r="BC73" s="199" t="n">
        <v>0</v>
      </c>
      <c r="BD73" s="202" t="n">
        <v>0</v>
      </c>
      <c r="BE73" s="205" t="n">
        <v>0</v>
      </c>
      <c r="BF73" s="205" t="n">
        <v>0</v>
      </c>
      <c r="BG73" s="208" t="n">
        <v>0</v>
      </c>
      <c r="BH73" s="211" t="n">
        <v>0</v>
      </c>
      <c r="BI73" s="211" t="n">
        <v>0</v>
      </c>
      <c r="BJ73" s="211" t="n">
        <v>0</v>
      </c>
      <c r="BK73" s="211" t="n">
        <v>0</v>
      </c>
      <c r="BL73" s="211" t="n">
        <v>0</v>
      </c>
      <c r="BM73" s="211" t="n">
        <v>0</v>
      </c>
      <c r="BN73" s="215" t="n">
        <v>0</v>
      </c>
      <c r="BO73" s="215" t="n">
        <v>0</v>
      </c>
      <c r="BP73" s="215" t="n">
        <v>0</v>
      </c>
      <c r="BQ73" s="215" t="n">
        <v>0</v>
      </c>
    </row>
    <row r="74">
      <c r="A74" s="22">
        <f>"https://open.spotify.com/playlist/" &amp; C74</f>
        <v/>
      </c>
      <c r="B74" s="1" t="inlineStr">
        <is>
          <t>ICONIC Bondi Beach Summer Party Vibes 🇦🇺 | #Australia Energy</t>
        </is>
      </c>
      <c r="C74" s="1" t="inlineStr">
        <is>
          <t>6xjkejGP7rIMzTUkC5J04j</t>
        </is>
      </c>
      <c r="D74" s="3" t="n">
        <v>9</v>
      </c>
      <c r="E74" s="21" t="n">
        <v>0</v>
      </c>
      <c r="F74" s="26" t="n">
        <v>2</v>
      </c>
      <c r="G74" s="25" t="n">
        <v>0</v>
      </c>
      <c r="H74" s="29" t="n">
        <v>0</v>
      </c>
      <c r="I74" s="32" t="n">
        <v>0</v>
      </c>
      <c r="J74" s="74" t="n">
        <v>0</v>
      </c>
      <c r="K74" s="76" t="n">
        <v>0</v>
      </c>
      <c r="L74" s="80" t="n">
        <v>0</v>
      </c>
      <c r="M74" s="83" t="n">
        <v>0</v>
      </c>
      <c r="N74" s="86" t="n">
        <v>0</v>
      </c>
      <c r="O74" s="89" t="n">
        <v>1</v>
      </c>
      <c r="P74" s="92" t="n">
        <v>1</v>
      </c>
      <c r="Q74" s="96" t="n">
        <v>0</v>
      </c>
      <c r="R74" s="99" t="n">
        <v>1</v>
      </c>
      <c r="S74" s="102" t="n">
        <v>0</v>
      </c>
      <c r="T74" s="105" t="n">
        <v>0</v>
      </c>
      <c r="U74" s="108" t="n">
        <v>0</v>
      </c>
      <c r="V74" s="111" t="n">
        <v>0</v>
      </c>
      <c r="W74" s="114" t="n">
        <v>0</v>
      </c>
      <c r="X74" s="117" t="n">
        <v>0</v>
      </c>
      <c r="Y74" s="120" t="n">
        <v>0</v>
      </c>
      <c r="Z74" s="123" t="n">
        <v>0</v>
      </c>
      <c r="AA74" s="127" t="n">
        <v>0</v>
      </c>
      <c r="AB74" s="130" t="n">
        <v>0</v>
      </c>
      <c r="AC74" s="133" t="n">
        <v>0</v>
      </c>
      <c r="AD74" s="136" t="n">
        <v>0</v>
      </c>
      <c r="AE74" s="139" t="n">
        <v>1</v>
      </c>
      <c r="AF74" s="142" t="n">
        <v>0</v>
      </c>
      <c r="AG74" s="145" t="n">
        <v>0</v>
      </c>
      <c r="AH74" s="147" t="n">
        <v>1</v>
      </c>
      <c r="AI74" s="151" t="n">
        <v>0</v>
      </c>
      <c r="AJ74" s="154" t="n">
        <v>0</v>
      </c>
      <c r="AK74" s="154" t="n">
        <v>0</v>
      </c>
      <c r="AL74" s="156" t="n">
        <v>0</v>
      </c>
      <c r="AM74" s="160" t="n">
        <v>0</v>
      </c>
      <c r="AN74" s="162" t="n">
        <v>1</v>
      </c>
      <c r="AO74" s="162" t="n">
        <v>0</v>
      </c>
      <c r="AP74" s="166" t="n">
        <v>0</v>
      </c>
      <c r="AQ74" s="169" t="n">
        <v>0</v>
      </c>
      <c r="AR74" s="172" t="n">
        <v>0</v>
      </c>
      <c r="AS74" s="175" t="n">
        <v>0</v>
      </c>
      <c r="AT74" s="178" t="n">
        <v>0</v>
      </c>
      <c r="AU74" s="178" t="n">
        <v>0</v>
      </c>
      <c r="AV74" s="181" t="n">
        <v>0</v>
      </c>
      <c r="AW74" s="183" t="n">
        <v>0</v>
      </c>
      <c r="AX74" s="183" t="n">
        <v>0</v>
      </c>
      <c r="AY74" s="187" t="n">
        <v>0</v>
      </c>
      <c r="AZ74" s="189" t="n">
        <v>0</v>
      </c>
      <c r="BA74" s="192" t="n">
        <v>0</v>
      </c>
      <c r="BB74" s="196" t="n">
        <v>0</v>
      </c>
      <c r="BC74" s="199" t="n">
        <v>0</v>
      </c>
      <c r="BD74" s="202" t="n">
        <v>0</v>
      </c>
      <c r="BE74" s="205" t="n">
        <v>0</v>
      </c>
      <c r="BF74" s="205" t="n">
        <v>0</v>
      </c>
      <c r="BG74" s="208" t="n">
        <v>0</v>
      </c>
      <c r="BH74" s="211" t="n">
        <v>0</v>
      </c>
      <c r="BI74" s="211" t="n">
        <v>0</v>
      </c>
      <c r="BJ74" s="211" t="n">
        <v>0</v>
      </c>
      <c r="BK74" s="211" t="n">
        <v>0</v>
      </c>
      <c r="BL74" s="211" t="n">
        <v>0</v>
      </c>
      <c r="BM74" s="211" t="n">
        <v>0</v>
      </c>
      <c r="BN74" s="215" t="n">
        <v>0</v>
      </c>
      <c r="BO74" s="215" t="n">
        <v>0</v>
      </c>
      <c r="BP74" s="215" t="n">
        <v>0</v>
      </c>
      <c r="BQ74" s="215" t="n">
        <v>0</v>
      </c>
    </row>
    <row r="75">
      <c r="A75" s="22">
        <f>"https://open.spotify.com/playlist/" &amp; C75</f>
        <v/>
      </c>
      <c r="B75" s="1" t="inlineStr">
        <is>
          <t>Powerlifting Training — Power &amp; Strain Mix 🖤🔥</t>
        </is>
      </c>
      <c r="C75" s="1" t="inlineStr">
        <is>
          <t>0QUoPovYYjbBHV8RQMukdN</t>
        </is>
      </c>
      <c r="D75" s="3" t="n">
        <v>2</v>
      </c>
      <c r="E75" s="21" t="n">
        <v>0</v>
      </c>
      <c r="F75" s="25" t="n">
        <v>0</v>
      </c>
      <c r="G75" s="25" t="n">
        <v>0</v>
      </c>
      <c r="H75" s="29" t="n">
        <v>0</v>
      </c>
      <c r="I75" s="32" t="n">
        <v>0</v>
      </c>
      <c r="J75" s="74" t="n">
        <v>0</v>
      </c>
      <c r="K75" s="76" t="n">
        <v>0</v>
      </c>
      <c r="L75" s="80" t="n">
        <v>0</v>
      </c>
      <c r="M75" s="83" t="n">
        <v>0</v>
      </c>
      <c r="N75" s="85" t="n">
        <v>1</v>
      </c>
      <c r="O75" s="90" t="n">
        <v>0</v>
      </c>
      <c r="P75" s="93" t="n">
        <v>0</v>
      </c>
      <c r="Q75" s="96" t="n">
        <v>0</v>
      </c>
      <c r="R75" s="98" t="n">
        <v>0</v>
      </c>
      <c r="S75" s="102" t="n">
        <v>0</v>
      </c>
      <c r="T75" s="105" t="n">
        <v>0</v>
      </c>
      <c r="U75" s="108" t="n">
        <v>0</v>
      </c>
      <c r="V75" s="111" t="n">
        <v>0</v>
      </c>
      <c r="W75" s="114" t="n">
        <v>0</v>
      </c>
      <c r="X75" s="117" t="n">
        <v>0</v>
      </c>
      <c r="Y75" s="120" t="n">
        <v>0</v>
      </c>
      <c r="Z75" s="123" t="n">
        <v>0</v>
      </c>
      <c r="AA75" s="127" t="n">
        <v>0</v>
      </c>
      <c r="AB75" s="130" t="n">
        <v>0</v>
      </c>
      <c r="AC75" s="133" t="n">
        <v>0</v>
      </c>
      <c r="AD75" s="136" t="n">
        <v>0</v>
      </c>
      <c r="AE75" s="138" t="n">
        <v>0</v>
      </c>
      <c r="AF75" s="142" t="n">
        <v>0</v>
      </c>
      <c r="AG75" s="145" t="n">
        <v>0</v>
      </c>
      <c r="AH75" s="148" t="n">
        <v>0</v>
      </c>
      <c r="AI75" s="151" t="n">
        <v>0</v>
      </c>
      <c r="AJ75" s="154" t="n">
        <v>0</v>
      </c>
      <c r="AK75" s="154" t="n">
        <v>0</v>
      </c>
      <c r="AL75" s="156" t="n">
        <v>0</v>
      </c>
      <c r="AM75" s="160" t="n">
        <v>0</v>
      </c>
      <c r="AN75" s="163" t="n">
        <v>0</v>
      </c>
      <c r="AO75" s="163" t="n">
        <v>0</v>
      </c>
      <c r="AP75" s="166" t="n">
        <v>0</v>
      </c>
      <c r="AQ75" s="169" t="n">
        <v>0</v>
      </c>
      <c r="AR75" s="172" t="n">
        <v>0</v>
      </c>
      <c r="AS75" s="175" t="n">
        <v>0</v>
      </c>
      <c r="AT75" s="178" t="n">
        <v>0</v>
      </c>
      <c r="AU75" s="178" t="n">
        <v>0</v>
      </c>
      <c r="AV75" s="181" t="n">
        <v>0</v>
      </c>
      <c r="AW75" s="183" t="n">
        <v>0</v>
      </c>
      <c r="AX75" s="183" t="n">
        <v>0</v>
      </c>
      <c r="AY75" s="187" t="n">
        <v>0</v>
      </c>
      <c r="AZ75" s="189" t="n">
        <v>0</v>
      </c>
      <c r="BA75" s="192" t="n">
        <v>0</v>
      </c>
      <c r="BB75" s="196" t="n">
        <v>0</v>
      </c>
      <c r="BC75" s="199" t="n">
        <v>0</v>
      </c>
      <c r="BD75" s="202" t="n">
        <v>0</v>
      </c>
      <c r="BE75" s="205" t="n">
        <v>0</v>
      </c>
      <c r="BF75" s="205" t="n">
        <v>0</v>
      </c>
      <c r="BG75" s="208" t="n">
        <v>0</v>
      </c>
      <c r="BH75" s="211" t="n">
        <v>0</v>
      </c>
      <c r="BI75" s="211" t="n">
        <v>0</v>
      </c>
      <c r="BJ75" s="211" t="n">
        <v>0</v>
      </c>
      <c r="BK75" s="211" t="n">
        <v>0</v>
      </c>
      <c r="BL75" s="211" t="n">
        <v>0</v>
      </c>
      <c r="BM75" s="211" t="n">
        <v>0</v>
      </c>
      <c r="BN75" s="215" t="n">
        <v>0</v>
      </c>
      <c r="BO75" s="215" t="n">
        <v>0</v>
      </c>
      <c r="BP75" s="215" t="n">
        <v>0</v>
      </c>
      <c r="BQ75" s="215" t="n">
        <v>0</v>
      </c>
    </row>
    <row r="76">
      <c r="A76" s="22">
        <f>"https://open.spotify.com/playlist/" &amp; C76</f>
        <v/>
      </c>
      <c r="B76" s="1" t="inlineStr">
        <is>
          <t>VIBRANT Summer Vacation 🌴 | Summer Trips &amp; #VacationMode</t>
        </is>
      </c>
      <c r="C76" s="1" t="inlineStr">
        <is>
          <t>2OmD3QOjz7WpLMURUy7jHl</t>
        </is>
      </c>
      <c r="D76" s="3" t="n">
        <v>23</v>
      </c>
      <c r="E76" s="21" t="n">
        <v>0</v>
      </c>
      <c r="F76" s="26" t="n">
        <v>1</v>
      </c>
      <c r="G76" s="25" t="n">
        <v>0</v>
      </c>
      <c r="H76" s="29" t="n">
        <v>0</v>
      </c>
      <c r="I76" s="31" t="n">
        <v>1</v>
      </c>
      <c r="J76" s="73" t="n">
        <v>1</v>
      </c>
      <c r="K76" s="76" t="n">
        <v>0</v>
      </c>
      <c r="L76" s="80" t="n">
        <v>0</v>
      </c>
      <c r="M76" s="82" t="n">
        <v>1</v>
      </c>
      <c r="N76" s="86" t="n">
        <v>0</v>
      </c>
      <c r="O76" s="89" t="n">
        <v>1</v>
      </c>
      <c r="P76" s="92" t="n">
        <v>1</v>
      </c>
      <c r="Q76" s="96" t="n">
        <v>0</v>
      </c>
      <c r="R76" s="99" t="n">
        <v>1</v>
      </c>
      <c r="S76" s="102" t="n">
        <v>0</v>
      </c>
      <c r="T76" s="104" t="n">
        <v>1</v>
      </c>
      <c r="U76" s="107" t="n">
        <v>1</v>
      </c>
      <c r="V76" s="110" t="n">
        <v>1</v>
      </c>
      <c r="W76" s="113" t="n">
        <v>1</v>
      </c>
      <c r="X76" s="116" t="n">
        <v>1</v>
      </c>
      <c r="Y76" s="120" t="n">
        <v>0</v>
      </c>
      <c r="Z76" s="123" t="n">
        <v>0</v>
      </c>
      <c r="AA76" s="127" t="n">
        <v>0</v>
      </c>
      <c r="AB76" s="130" t="n">
        <v>0</v>
      </c>
      <c r="AC76" s="133" t="n">
        <v>0</v>
      </c>
      <c r="AD76" s="136" t="n">
        <v>0</v>
      </c>
      <c r="AE76" s="138" t="n">
        <v>0</v>
      </c>
      <c r="AF76" s="141" t="n">
        <v>1</v>
      </c>
      <c r="AG76" s="144" t="n">
        <v>1</v>
      </c>
      <c r="AH76" s="148" t="n">
        <v>0</v>
      </c>
      <c r="AI76" s="151" t="n">
        <v>0</v>
      </c>
      <c r="AJ76" s="154" t="n">
        <v>0</v>
      </c>
      <c r="AK76" s="154" t="n">
        <v>0</v>
      </c>
      <c r="AL76" s="156" t="n">
        <v>0</v>
      </c>
      <c r="AM76" s="159" t="n">
        <v>1</v>
      </c>
      <c r="AN76" s="162" t="n">
        <v>1</v>
      </c>
      <c r="AO76" s="162" t="n">
        <v>1</v>
      </c>
      <c r="AP76" s="165" t="n">
        <v>1</v>
      </c>
      <c r="AQ76" s="169" t="n">
        <v>0</v>
      </c>
      <c r="AR76" s="172" t="n">
        <v>0</v>
      </c>
      <c r="AS76" s="174" t="n">
        <v>2</v>
      </c>
      <c r="AT76" s="177" t="n">
        <v>1</v>
      </c>
      <c r="AU76" s="178" t="n">
        <v>0</v>
      </c>
      <c r="AV76" s="181" t="n">
        <v>0</v>
      </c>
      <c r="AW76" s="183" t="n">
        <v>0</v>
      </c>
      <c r="AX76" s="183" t="n">
        <v>0</v>
      </c>
      <c r="AY76" s="187" t="n">
        <v>0</v>
      </c>
      <c r="AZ76" s="189" t="n">
        <v>0</v>
      </c>
      <c r="BA76" s="192" t="n">
        <v>0</v>
      </c>
      <c r="BB76" s="196" t="n">
        <v>0</v>
      </c>
      <c r="BC76" s="199" t="n">
        <v>0</v>
      </c>
      <c r="BD76" s="202" t="n">
        <v>0</v>
      </c>
      <c r="BE76" s="205" t="n">
        <v>0</v>
      </c>
      <c r="BF76" s="205" t="n">
        <v>0</v>
      </c>
      <c r="BG76" s="207" t="n">
        <v>1</v>
      </c>
      <c r="BH76" s="211" t="n">
        <v>0</v>
      </c>
      <c r="BI76" s="211" t="n">
        <v>0</v>
      </c>
      <c r="BJ76" s="211" t="n">
        <v>0</v>
      </c>
      <c r="BK76" s="211" t="n">
        <v>0</v>
      </c>
      <c r="BL76" s="211" t="n">
        <v>0</v>
      </c>
      <c r="BM76" s="211" t="n">
        <v>0</v>
      </c>
      <c r="BN76" s="215" t="n">
        <v>0</v>
      </c>
      <c r="BO76" s="215" t="n">
        <v>0</v>
      </c>
      <c r="BP76" s="215" t="n">
        <v>0</v>
      </c>
      <c r="BQ76" s="215" t="n">
        <v>0</v>
      </c>
    </row>
    <row r="77">
      <c r="A77" s="22">
        <f>"https://open.spotify.com/playlist/" &amp; C77</f>
        <v/>
      </c>
      <c r="B77" s="1" t="inlineStr">
        <is>
          <t>ADRÉNALINE 160–165 Running Rythmique 💪 | Musique Running 160 BPM | Playlist Tempo Run | Cardio</t>
        </is>
      </c>
      <c r="C77" s="1" t="inlineStr">
        <is>
          <t>49KpeeDLUfgDn9QlVaq0jU</t>
        </is>
      </c>
      <c r="D77" s="3" t="n">
        <v>68</v>
      </c>
      <c r="E77" s="21" t="n">
        <v>0</v>
      </c>
      <c r="F77" s="25" t="n">
        <v>0</v>
      </c>
      <c r="G77" s="26" t="n">
        <v>1</v>
      </c>
      <c r="H77" s="29" t="n">
        <v>0</v>
      </c>
      <c r="I77" s="31" t="n">
        <v>1</v>
      </c>
      <c r="J77" s="74" t="n">
        <v>0</v>
      </c>
      <c r="K77" s="76" t="n">
        <v>0</v>
      </c>
      <c r="L77" s="80" t="n">
        <v>0</v>
      </c>
      <c r="M77" s="83" t="n">
        <v>0</v>
      </c>
      <c r="N77" s="85" t="n">
        <v>2</v>
      </c>
      <c r="O77" s="89" t="n">
        <v>1</v>
      </c>
      <c r="P77" s="92" t="n">
        <v>1</v>
      </c>
      <c r="Q77" s="95" t="n">
        <v>3</v>
      </c>
      <c r="R77" s="98" t="n">
        <v>0</v>
      </c>
      <c r="S77" s="101" t="n">
        <v>3</v>
      </c>
      <c r="T77" s="104" t="n">
        <v>2</v>
      </c>
      <c r="U77" s="107" t="n">
        <v>2</v>
      </c>
      <c r="V77" s="110" t="n">
        <v>1</v>
      </c>
      <c r="W77" s="113" t="n">
        <v>1</v>
      </c>
      <c r="X77" s="116" t="n">
        <v>2</v>
      </c>
      <c r="Y77" s="119" t="n">
        <v>1</v>
      </c>
      <c r="Z77" s="121" t="n">
        <v>2</v>
      </c>
      <c r="AA77" s="126" t="n">
        <v>3</v>
      </c>
      <c r="AB77" s="129" t="n">
        <v>1</v>
      </c>
      <c r="AC77" s="133" t="n">
        <v>0</v>
      </c>
      <c r="AD77" s="136" t="n">
        <v>0</v>
      </c>
      <c r="AE77" s="138" t="n">
        <v>0</v>
      </c>
      <c r="AF77" s="141" t="n">
        <v>2</v>
      </c>
      <c r="AG77" s="144" t="n">
        <v>2</v>
      </c>
      <c r="AH77" s="148" t="n">
        <v>0</v>
      </c>
      <c r="AI77" s="150" t="n">
        <v>1</v>
      </c>
      <c r="AJ77" s="152" t="n">
        <v>1</v>
      </c>
      <c r="AK77" s="152" t="n">
        <v>3</v>
      </c>
      <c r="AL77" s="155" t="n">
        <v>4</v>
      </c>
      <c r="AM77" s="159" t="n">
        <v>2</v>
      </c>
      <c r="AN77" s="161" t="n">
        <v>3</v>
      </c>
      <c r="AO77" s="161" t="n">
        <v>3</v>
      </c>
      <c r="AP77" s="165" t="n">
        <v>1</v>
      </c>
      <c r="AQ77" s="169" t="n">
        <v>0</v>
      </c>
      <c r="AR77" s="171" t="n">
        <v>2</v>
      </c>
      <c r="AS77" s="174" t="n">
        <v>2</v>
      </c>
      <c r="AT77" s="178" t="n">
        <v>-1</v>
      </c>
      <c r="AU77" s="177" t="n">
        <v>3</v>
      </c>
      <c r="AV77" s="180" t="n">
        <v>2</v>
      </c>
      <c r="AW77" s="183" t="n">
        <v>0</v>
      </c>
      <c r="AX77" s="183" t="n">
        <v>0</v>
      </c>
      <c r="AY77" s="187" t="n">
        <v>0</v>
      </c>
      <c r="AZ77" s="189" t="n">
        <v>-1</v>
      </c>
      <c r="BA77" s="191" t="n">
        <v>1</v>
      </c>
      <c r="BB77" s="194" t="n">
        <v>1</v>
      </c>
      <c r="BC77" s="199" t="n">
        <v>0</v>
      </c>
      <c r="BD77" s="202" t="n">
        <v>0</v>
      </c>
      <c r="BE77" s="204" t="n">
        <v>2</v>
      </c>
      <c r="BF77" s="205" t="n">
        <v>0</v>
      </c>
      <c r="BG77" s="208" t="n">
        <v>0</v>
      </c>
      <c r="BH77" s="210" t="n">
        <v>2</v>
      </c>
      <c r="BI77" s="210" t="n">
        <v>1</v>
      </c>
      <c r="BJ77" s="210" t="n">
        <v>2</v>
      </c>
      <c r="BK77" s="210" t="n">
        <v>2</v>
      </c>
      <c r="BL77" s="211" t="n">
        <v>0</v>
      </c>
      <c r="BM77" s="211" t="n">
        <v>0</v>
      </c>
      <c r="BN77" s="215" t="n">
        <v>0</v>
      </c>
      <c r="BO77" s="215" t="n">
        <v>0</v>
      </c>
      <c r="BP77" s="215" t="n">
        <v>0</v>
      </c>
      <c r="BQ77" s="215" t="n">
        <v>0</v>
      </c>
    </row>
    <row r="78">
      <c r="A78" s="22">
        <f>"https://open.spotify.com/playlist/" &amp; C78</f>
        <v/>
      </c>
      <c r="B78" s="1" t="inlineStr">
        <is>
          <t>INTENSE Running Music 170–180 BPM 🔥 Fast Songs for Running | High Tempo Jogging Playlist</t>
        </is>
      </c>
      <c r="C78" s="1" t="inlineStr">
        <is>
          <t>1vBfepUhP5Dfg1Kt2JCyFl</t>
        </is>
      </c>
      <c r="D78" s="3" t="n">
        <v>291</v>
      </c>
      <c r="E78" s="21" t="n">
        <v>0</v>
      </c>
      <c r="F78" s="25" t="n">
        <v>0</v>
      </c>
      <c r="G78" s="25" t="n">
        <v>0</v>
      </c>
      <c r="H78" s="29" t="n">
        <v>0</v>
      </c>
      <c r="I78" s="32" t="n">
        <v>0</v>
      </c>
      <c r="J78" s="74" t="n">
        <v>0</v>
      </c>
      <c r="K78" s="76" t="n">
        <v>0</v>
      </c>
      <c r="L78" s="79" t="n">
        <v>2</v>
      </c>
      <c r="M78" s="81" t="n">
        <v>8</v>
      </c>
      <c r="N78" s="84" t="n">
        <v>5</v>
      </c>
      <c r="O78" s="88" t="n">
        <v>5</v>
      </c>
      <c r="P78" s="91" t="n">
        <v>5</v>
      </c>
      <c r="Q78" s="95" t="n">
        <v>2</v>
      </c>
      <c r="R78" s="97" t="n">
        <v>9</v>
      </c>
      <c r="S78" s="100" t="n">
        <v>10</v>
      </c>
      <c r="T78" s="103" t="n">
        <v>9</v>
      </c>
      <c r="U78" s="107" t="n">
        <v>2</v>
      </c>
      <c r="V78" s="109" t="n">
        <v>4</v>
      </c>
      <c r="W78" s="112" t="n">
        <v>6</v>
      </c>
      <c r="X78" s="117" t="n">
        <v>0</v>
      </c>
      <c r="Y78" s="118" t="n">
        <v>4</v>
      </c>
      <c r="Z78" s="122" t="n">
        <v>4</v>
      </c>
      <c r="AA78" s="126" t="n">
        <v>2</v>
      </c>
      <c r="AB78" s="128" t="n">
        <v>4</v>
      </c>
      <c r="AC78" s="131" t="n">
        <v>8</v>
      </c>
      <c r="AD78" s="135" t="n">
        <v>1</v>
      </c>
      <c r="AE78" s="137" t="n">
        <v>10</v>
      </c>
      <c r="AF78" s="140" t="n">
        <v>4</v>
      </c>
      <c r="AG78" s="143" t="n">
        <v>9</v>
      </c>
      <c r="AH78" s="146" t="n">
        <v>5</v>
      </c>
      <c r="AI78" s="150" t="n">
        <v>2</v>
      </c>
      <c r="AJ78" s="153" t="n">
        <v>6</v>
      </c>
      <c r="AK78" s="153" t="n">
        <v>9</v>
      </c>
      <c r="AL78" s="155" t="n">
        <v>6</v>
      </c>
      <c r="AM78" s="158" t="n">
        <v>7</v>
      </c>
      <c r="AN78" s="161" t="n">
        <v>4</v>
      </c>
      <c r="AO78" s="161" t="n">
        <v>4</v>
      </c>
      <c r="AP78" s="164" t="n">
        <v>5</v>
      </c>
      <c r="AQ78" s="167" t="n">
        <v>6</v>
      </c>
      <c r="AR78" s="170" t="n">
        <v>7</v>
      </c>
      <c r="AS78" s="173" t="n">
        <v>5</v>
      </c>
      <c r="AT78" s="176" t="n">
        <v>6</v>
      </c>
      <c r="AU78" s="176" t="n">
        <v>4</v>
      </c>
      <c r="AV78" s="179" t="n">
        <v>9</v>
      </c>
      <c r="AW78" s="182" t="n">
        <v>4</v>
      </c>
      <c r="AX78" s="182" t="n">
        <v>5</v>
      </c>
      <c r="AY78" s="186" t="n">
        <v>1</v>
      </c>
      <c r="AZ78" s="190" t="n">
        <v>3</v>
      </c>
      <c r="BA78" s="193" t="n">
        <v>4</v>
      </c>
      <c r="BB78" s="195" t="n">
        <v>9</v>
      </c>
      <c r="BC78" s="197" t="n">
        <v>8</v>
      </c>
      <c r="BD78" s="200" t="n">
        <v>4</v>
      </c>
      <c r="BE78" s="203" t="n">
        <v>6</v>
      </c>
      <c r="BF78" s="204" t="n">
        <v>1</v>
      </c>
      <c r="BG78" s="206" t="n">
        <v>4</v>
      </c>
      <c r="BH78" s="209" t="n">
        <v>8</v>
      </c>
      <c r="BI78" s="209" t="n">
        <v>12</v>
      </c>
      <c r="BJ78" s="209" t="n">
        <v>5</v>
      </c>
      <c r="BK78" s="210" t="n">
        <v>2</v>
      </c>
      <c r="BL78" s="210" t="n">
        <v>3</v>
      </c>
      <c r="BM78" s="210" t="n">
        <v>2</v>
      </c>
      <c r="BN78" s="214" t="n">
        <v>3</v>
      </c>
      <c r="BO78" s="216" t="n">
        <v>4</v>
      </c>
      <c r="BP78" s="215" t="n">
        <v>0</v>
      </c>
      <c r="BQ78" s="216" t="n">
        <v>4</v>
      </c>
    </row>
    <row r="79">
      <c r="A79" s="22">
        <f>"https://open.spotify.com/playlist/" &amp; C79</f>
        <v/>
      </c>
      <c r="B79" s="1" t="inlineStr">
        <is>
          <t>GLOW UP Energy &amp; #SummerVibes | RADIANT Summer Vibes ✨</t>
        </is>
      </c>
      <c r="C79" s="1" t="inlineStr">
        <is>
          <t>2tgePokAmihXWN1Pnk7ats</t>
        </is>
      </c>
      <c r="D79" s="3" t="n">
        <v>3</v>
      </c>
      <c r="E79" s="21" t="n">
        <v>0</v>
      </c>
      <c r="F79" s="25" t="n">
        <v>0</v>
      </c>
      <c r="G79" s="25" t="n">
        <v>0</v>
      </c>
      <c r="H79" s="29" t="n">
        <v>0</v>
      </c>
      <c r="I79" s="32" t="n">
        <v>0</v>
      </c>
      <c r="J79" s="74" t="n">
        <v>0</v>
      </c>
      <c r="K79" s="76" t="n">
        <v>0</v>
      </c>
      <c r="L79" s="80" t="n">
        <v>0</v>
      </c>
      <c r="M79" s="83" t="n">
        <v>0</v>
      </c>
      <c r="N79" s="86" t="n">
        <v>0</v>
      </c>
      <c r="O79" s="90" t="n">
        <v>0</v>
      </c>
      <c r="P79" s="93" t="n">
        <v>0</v>
      </c>
      <c r="Q79" s="96" t="n">
        <v>0</v>
      </c>
      <c r="R79" s="98" t="n">
        <v>0</v>
      </c>
      <c r="S79" s="102" t="n">
        <v>0</v>
      </c>
      <c r="T79" s="105" t="n">
        <v>0</v>
      </c>
      <c r="U79" s="107" t="n">
        <v>1</v>
      </c>
      <c r="V79" s="111" t="n">
        <v>0</v>
      </c>
      <c r="W79" s="114" t="n">
        <v>0</v>
      </c>
      <c r="X79" s="117" t="n">
        <v>0</v>
      </c>
      <c r="Y79" s="120" t="n">
        <v>0</v>
      </c>
      <c r="Z79" s="123" t="n">
        <v>0</v>
      </c>
      <c r="AA79" s="127" t="n">
        <v>0</v>
      </c>
      <c r="AB79" s="130" t="n">
        <v>0</v>
      </c>
      <c r="AC79" s="132" t="n">
        <v>1</v>
      </c>
      <c r="AD79" s="136" t="n">
        <v>0</v>
      </c>
      <c r="AE79" s="138" t="n">
        <v>0</v>
      </c>
      <c r="AF79" s="142" t="n">
        <v>0</v>
      </c>
      <c r="AN79" t="n">
        <v>0</v>
      </c>
      <c r="AO79" t="n">
        <v>0</v>
      </c>
    </row>
    <row r="80">
      <c r="A80" s="22">
        <f>"https://open.spotify.com/playlist/" &amp; C80</f>
        <v/>
      </c>
      <c r="B80" s="1" t="inlineStr">
        <is>
          <t>AMAPIANO Beach Bar 🌴 | Island Chill &amp; Sunset Vibes | Jamaica</t>
        </is>
      </c>
      <c r="C80" s="1" t="inlineStr">
        <is>
          <t>4aqyXIhXPXBq1ohukUP0Ca</t>
        </is>
      </c>
      <c r="D80" s="3" t="n">
        <v>15</v>
      </c>
      <c r="E80" s="21" t="n">
        <v>0</v>
      </c>
      <c r="F80" s="25" t="n">
        <v>0</v>
      </c>
      <c r="G80" s="25" t="n">
        <v>0</v>
      </c>
      <c r="H80" s="29" t="n">
        <v>0</v>
      </c>
      <c r="I80" s="31" t="n">
        <v>2</v>
      </c>
      <c r="J80" s="74" t="n">
        <v>0</v>
      </c>
      <c r="K80" s="77" t="n">
        <v>1</v>
      </c>
      <c r="L80" s="79" t="n">
        <v>1</v>
      </c>
      <c r="M80" s="82" t="n">
        <v>1</v>
      </c>
      <c r="N80" s="86" t="n">
        <v>0</v>
      </c>
      <c r="O80" s="90" t="n">
        <v>0</v>
      </c>
      <c r="P80" s="93" t="n">
        <v>-1</v>
      </c>
      <c r="Q80" s="96" t="n">
        <v>0</v>
      </c>
      <c r="R80" s="99" t="n">
        <v>1</v>
      </c>
      <c r="S80" s="102" t="n">
        <v>0</v>
      </c>
      <c r="T80" s="104" t="n">
        <v>1</v>
      </c>
      <c r="U80" s="107" t="n">
        <v>1</v>
      </c>
      <c r="V80" s="111" t="n">
        <v>0</v>
      </c>
      <c r="W80" s="114" t="n">
        <v>0</v>
      </c>
      <c r="X80" s="116" t="n">
        <v>1</v>
      </c>
      <c r="Y80" s="119" t="n">
        <v>1</v>
      </c>
      <c r="Z80" s="121" t="n">
        <v>1</v>
      </c>
      <c r="AA80" s="127" t="n">
        <v>0</v>
      </c>
      <c r="AB80" s="130" t="n">
        <v>0</v>
      </c>
      <c r="AC80" s="132" t="n">
        <v>1</v>
      </c>
      <c r="AD80" s="136" t="n">
        <v>0</v>
      </c>
      <c r="AE80" s="138" t="n">
        <v>0</v>
      </c>
      <c r="AF80" s="142" t="n">
        <v>0</v>
      </c>
      <c r="AG80" s="144" t="n">
        <v>1</v>
      </c>
      <c r="AH80" s="148" t="n">
        <v>0</v>
      </c>
      <c r="AI80" s="151" t="n">
        <v>0</v>
      </c>
      <c r="AJ80" s="154" t="n">
        <v>0</v>
      </c>
      <c r="AK80" s="154" t="n">
        <v>0</v>
      </c>
      <c r="AL80" s="157" t="n">
        <v>2</v>
      </c>
      <c r="AM80" s="160" t="n">
        <v>0</v>
      </c>
      <c r="AN80" s="163" t="n">
        <v>0</v>
      </c>
      <c r="AO80" s="163" t="n">
        <v>0</v>
      </c>
      <c r="AP80" s="166" t="n">
        <v>0</v>
      </c>
      <c r="AQ80" s="169" t="n">
        <v>0</v>
      </c>
      <c r="AR80" s="172" t="n">
        <v>0</v>
      </c>
      <c r="AS80" s="174" t="n">
        <v>1</v>
      </c>
      <c r="AT80" s="178" t="n">
        <v>0</v>
      </c>
      <c r="AU80" s="178" t="n">
        <v>0</v>
      </c>
      <c r="AV80" s="181" t="n">
        <v>0</v>
      </c>
      <c r="AW80" s="183" t="n">
        <v>0</v>
      </c>
      <c r="AX80" s="183" t="n">
        <v>0</v>
      </c>
      <c r="AY80" s="187" t="n">
        <v>0</v>
      </c>
      <c r="AZ80" s="189" t="n">
        <v>0</v>
      </c>
      <c r="BA80" s="192" t="n">
        <v>0</v>
      </c>
      <c r="BB80" s="196" t="n">
        <v>0</v>
      </c>
      <c r="BC80" s="199" t="n">
        <v>0</v>
      </c>
      <c r="BD80" s="202" t="n">
        <v>0</v>
      </c>
      <c r="BE80" s="205" t="n">
        <v>0</v>
      </c>
      <c r="BF80" s="205" t="n">
        <v>0</v>
      </c>
      <c r="BG80" s="208" t="n">
        <v>0</v>
      </c>
      <c r="BH80" s="211" t="n">
        <v>-1</v>
      </c>
      <c r="BI80" s="211" t="n">
        <v>0</v>
      </c>
      <c r="BJ80" s="211" t="n">
        <v>0</v>
      </c>
      <c r="BK80" s="211" t="n">
        <v>0</v>
      </c>
      <c r="BL80" s="211" t="n">
        <v>0</v>
      </c>
      <c r="BM80" s="211" t="n">
        <v>0</v>
      </c>
      <c r="BN80" s="215" t="n">
        <v>0</v>
      </c>
      <c r="BO80" s="215" t="n">
        <v>0</v>
      </c>
      <c r="BP80" s="215" t="n">
        <v>0</v>
      </c>
      <c r="BQ80" s="215" t="n">
        <v>0</v>
      </c>
    </row>
    <row r="81">
      <c r="A81" s="22">
        <f>"https://open.spotify.com/playlist/" &amp; C81</f>
        <v/>
      </c>
      <c r="B81" s="1" t="inlineStr">
        <is>
          <t>CRAZY Pre-Beach Pump 150–160 BPM 🔥 | Gym Hype &amp; Beach Body Energy</t>
        </is>
      </c>
      <c r="C81" s="1" t="inlineStr">
        <is>
          <t>6amsi1U34GwlvVD4vwQ5UR</t>
        </is>
      </c>
      <c r="D81" s="3" t="n">
        <v>19</v>
      </c>
      <c r="E81" s="20" t="n">
        <v>1</v>
      </c>
      <c r="F81" s="26" t="n">
        <v>1</v>
      </c>
      <c r="G81" s="25" t="n">
        <v>0</v>
      </c>
      <c r="H81" s="28" t="n">
        <v>1</v>
      </c>
      <c r="I81" s="31" t="n">
        <v>1</v>
      </c>
      <c r="J81" s="74" t="n">
        <v>0</v>
      </c>
      <c r="K81" s="76" t="n">
        <v>0</v>
      </c>
      <c r="L81" s="80" t="n">
        <v>0</v>
      </c>
      <c r="M81" s="82" t="n">
        <v>1</v>
      </c>
      <c r="N81" s="86" t="n">
        <v>0</v>
      </c>
      <c r="O81" s="89" t="n">
        <v>1</v>
      </c>
      <c r="P81" s="92" t="n">
        <v>1</v>
      </c>
      <c r="Q81" s="96" t="n">
        <v>0</v>
      </c>
      <c r="R81" s="99" t="n">
        <v>1</v>
      </c>
      <c r="S81" s="102" t="n">
        <v>0</v>
      </c>
      <c r="T81" s="105" t="n">
        <v>0</v>
      </c>
      <c r="U81" s="108" t="n">
        <v>0</v>
      </c>
      <c r="V81" s="111" t="n">
        <v>0</v>
      </c>
      <c r="W81" s="114" t="n">
        <v>0</v>
      </c>
      <c r="X81" s="117" t="n">
        <v>0</v>
      </c>
      <c r="Y81" s="120" t="n">
        <v>0</v>
      </c>
      <c r="Z81" s="123" t="n">
        <v>0</v>
      </c>
      <c r="AA81" s="127" t="n">
        <v>0</v>
      </c>
      <c r="AB81" s="130" t="n">
        <v>0</v>
      </c>
      <c r="AC81" s="132" t="n">
        <v>2</v>
      </c>
      <c r="AD81" s="136" t="n">
        <v>0</v>
      </c>
      <c r="AE81" s="138" t="n">
        <v>0</v>
      </c>
      <c r="AF81" s="141" t="n">
        <v>1</v>
      </c>
      <c r="AG81" s="145" t="n">
        <v>0</v>
      </c>
      <c r="AH81" s="148" t="n">
        <v>0</v>
      </c>
      <c r="AI81" s="151" t="n">
        <v>0</v>
      </c>
      <c r="AJ81" s="152" t="n">
        <v>1</v>
      </c>
      <c r="AK81" s="154" t="n">
        <v>0</v>
      </c>
      <c r="AL81" s="157" t="n">
        <v>1</v>
      </c>
      <c r="AM81" s="160" t="n">
        <v>0</v>
      </c>
      <c r="AN81" s="162" t="n">
        <v>1</v>
      </c>
      <c r="AO81" s="162" t="n">
        <v>0</v>
      </c>
      <c r="AP81" s="166" t="n">
        <v>0</v>
      </c>
      <c r="AQ81" s="168" t="n">
        <v>1</v>
      </c>
      <c r="AR81" s="172" t="n">
        <v>0</v>
      </c>
      <c r="AS81" s="175" t="n">
        <v>-1</v>
      </c>
      <c r="AT81" s="178" t="n">
        <v>0</v>
      </c>
      <c r="AU81" s="178" t="n">
        <v>0</v>
      </c>
      <c r="AV81" s="181" t="n">
        <v>0</v>
      </c>
      <c r="AW81" s="183" t="n">
        <v>0</v>
      </c>
      <c r="AX81" s="183" t="n">
        <v>0</v>
      </c>
      <c r="AY81" s="187" t="n">
        <v>0</v>
      </c>
      <c r="AZ81" s="189" t="n">
        <v>0</v>
      </c>
      <c r="BA81" s="192" t="n">
        <v>0</v>
      </c>
      <c r="BB81" s="194" t="n">
        <v>1</v>
      </c>
      <c r="BC81" s="198" t="n">
        <v>1</v>
      </c>
      <c r="BD81" s="202" t="n">
        <v>0</v>
      </c>
      <c r="BE81" s="204" t="n">
        <v>1</v>
      </c>
      <c r="BF81" s="204" t="n">
        <v>1</v>
      </c>
      <c r="BG81" s="208" t="n">
        <v>0</v>
      </c>
      <c r="BH81" s="211" t="n">
        <v>0</v>
      </c>
      <c r="BI81" s="211" t="n">
        <v>0</v>
      </c>
      <c r="BJ81" s="211" t="n">
        <v>0</v>
      </c>
      <c r="BK81" s="211" t="n">
        <v>0</v>
      </c>
      <c r="BL81" s="211" t="n">
        <v>0</v>
      </c>
      <c r="BM81" s="211" t="n">
        <v>0</v>
      </c>
      <c r="BN81" s="215" t="n">
        <v>0</v>
      </c>
      <c r="BO81" s="215" t="n">
        <v>0</v>
      </c>
      <c r="BP81" s="215" t="n">
        <v>0</v>
      </c>
      <c r="BQ81" s="215" t="n">
        <v>0</v>
      </c>
    </row>
    <row r="82">
      <c r="A82" s="22">
        <f>"https://open.spotify.com/playlist/" &amp; C82</f>
        <v/>
      </c>
      <c r="B82" s="1" t="inlineStr">
        <is>
          <t>BODRUM Beach Lifestyle ☀️ | Mediterranean Sun Vibes</t>
        </is>
      </c>
      <c r="C82" s="1" t="inlineStr">
        <is>
          <t>7lCZhWPCGDuxjhv4CT3WvI</t>
        </is>
      </c>
      <c r="D82" s="3" t="n">
        <v>10</v>
      </c>
      <c r="E82" s="21" t="n">
        <v>0</v>
      </c>
      <c r="F82" s="25" t="n">
        <v>0</v>
      </c>
      <c r="G82" s="25" t="n">
        <v>0</v>
      </c>
      <c r="H82" s="29" t="n">
        <v>0</v>
      </c>
      <c r="I82" s="32" t="n">
        <v>0</v>
      </c>
      <c r="J82" s="74" t="n">
        <v>0</v>
      </c>
      <c r="K82" s="76" t="n">
        <v>0</v>
      </c>
      <c r="L82" s="79" t="n">
        <v>1</v>
      </c>
      <c r="M82" s="83" t="n">
        <v>0</v>
      </c>
      <c r="N82" s="85" t="n">
        <v>1</v>
      </c>
      <c r="O82" s="90" t="n">
        <v>0</v>
      </c>
      <c r="P82" s="93" t="n">
        <v>0</v>
      </c>
      <c r="Q82" s="96" t="n">
        <v>0</v>
      </c>
      <c r="R82" s="99" t="n">
        <v>1</v>
      </c>
      <c r="S82" s="102" t="n">
        <v>0</v>
      </c>
      <c r="T82" s="105" t="n">
        <v>0</v>
      </c>
      <c r="U82" s="108" t="n">
        <v>0</v>
      </c>
      <c r="V82" s="111" t="n">
        <v>0</v>
      </c>
      <c r="W82" s="113" t="n">
        <v>1</v>
      </c>
      <c r="X82" s="116" t="n">
        <v>1</v>
      </c>
      <c r="Y82" s="120" t="n">
        <v>0</v>
      </c>
      <c r="Z82" s="123" t="n">
        <v>0</v>
      </c>
      <c r="AA82" s="127" t="n">
        <v>0</v>
      </c>
      <c r="AB82" s="130" t="n">
        <v>0</v>
      </c>
      <c r="AC82" s="133" t="n">
        <v>0</v>
      </c>
      <c r="AD82" s="136" t="n">
        <v>0</v>
      </c>
      <c r="AE82" s="138" t="n">
        <v>0</v>
      </c>
      <c r="AF82" s="142" t="n">
        <v>0</v>
      </c>
      <c r="AG82" s="145" t="n">
        <v>0</v>
      </c>
      <c r="AH82" s="148" t="n">
        <v>0</v>
      </c>
      <c r="AI82" s="151" t="n">
        <v>0</v>
      </c>
      <c r="AJ82" s="154" t="n">
        <v>0</v>
      </c>
      <c r="AK82" s="154" t="n">
        <v>0</v>
      </c>
      <c r="AL82" s="156" t="n">
        <v>0</v>
      </c>
      <c r="AM82" s="160" t="n">
        <v>0</v>
      </c>
      <c r="AN82" s="163" t="n">
        <v>0</v>
      </c>
      <c r="AO82" s="163" t="n">
        <v>0</v>
      </c>
      <c r="AP82" s="166" t="n">
        <v>0</v>
      </c>
      <c r="AQ82" s="168" t="n">
        <v>1</v>
      </c>
      <c r="AR82" s="172" t="n">
        <v>0</v>
      </c>
      <c r="AS82" s="174" t="n">
        <v>3</v>
      </c>
      <c r="AT82" s="178" t="n">
        <v>0</v>
      </c>
      <c r="AU82" s="178" t="n">
        <v>0</v>
      </c>
      <c r="AV82" s="181" t="n">
        <v>0</v>
      </c>
      <c r="AW82" s="183" t="n">
        <v>0</v>
      </c>
      <c r="AX82" s="183" t="n">
        <v>0</v>
      </c>
      <c r="AY82" s="187" t="n">
        <v>0</v>
      </c>
      <c r="AZ82" s="189" t="n">
        <v>0</v>
      </c>
      <c r="BA82" s="192" t="n">
        <v>0</v>
      </c>
      <c r="BB82" s="196" t="n">
        <v>0</v>
      </c>
      <c r="BC82" s="199" t="n">
        <v>0</v>
      </c>
      <c r="BD82" s="202" t="n">
        <v>0</v>
      </c>
      <c r="BE82" s="205" t="n">
        <v>0</v>
      </c>
      <c r="BF82" s="205" t="n">
        <v>0</v>
      </c>
      <c r="BG82" s="208" t="n">
        <v>0</v>
      </c>
      <c r="BH82" s="211" t="n">
        <v>0</v>
      </c>
      <c r="BI82" s="211" t="n">
        <v>0</v>
      </c>
      <c r="BJ82" s="211" t="n">
        <v>0</v>
      </c>
      <c r="BK82" s="211" t="n">
        <v>0</v>
      </c>
      <c r="BL82" s="210" t="n">
        <v>1</v>
      </c>
      <c r="BM82" s="211" t="n">
        <v>0</v>
      </c>
      <c r="BN82" s="215" t="n">
        <v>0</v>
      </c>
      <c r="BO82" s="215" t="n">
        <v>0</v>
      </c>
      <c r="BP82" s="215" t="n">
        <v>0</v>
      </c>
      <c r="BQ82" s="215" t="n">
        <v>0</v>
      </c>
    </row>
    <row r="83">
      <c r="A83" s="22">
        <f>"https://open.spotify.com/playlist/" &amp; C83</f>
        <v/>
      </c>
      <c r="B83" s="1" t="inlineStr">
        <is>
          <t>WILD Ayia Napa Boat Party 🌊 | Mediterranean Summer Energy</t>
        </is>
      </c>
      <c r="C83" s="1" t="inlineStr">
        <is>
          <t>2ryfO7PDyPMwfX5UidKU2e</t>
        </is>
      </c>
      <c r="D83" s="3" t="n">
        <v>1</v>
      </c>
      <c r="E83" s="20" t="n">
        <v>1</v>
      </c>
      <c r="F83" s="25" t="n">
        <v>0</v>
      </c>
      <c r="G83" s="25" t="n">
        <v>0</v>
      </c>
      <c r="H83" s="29" t="n">
        <v>0</v>
      </c>
      <c r="I83" s="32" t="n">
        <v>-1</v>
      </c>
      <c r="J83" s="74" t="n">
        <v>0</v>
      </c>
      <c r="K83" s="76" t="n">
        <v>0</v>
      </c>
      <c r="L83" s="80" t="n">
        <v>0</v>
      </c>
      <c r="M83" s="83" t="n">
        <v>0</v>
      </c>
      <c r="N83" s="86" t="n">
        <v>0</v>
      </c>
      <c r="O83" s="90" t="n">
        <v>0</v>
      </c>
      <c r="P83" s="93" t="n">
        <v>0</v>
      </c>
      <c r="Q83" s="96" t="n">
        <v>0</v>
      </c>
      <c r="R83" s="98" t="n">
        <v>0</v>
      </c>
      <c r="S83" s="102" t="n">
        <v>0</v>
      </c>
      <c r="T83" s="105" t="n">
        <v>0</v>
      </c>
      <c r="U83" s="108" t="n">
        <v>0</v>
      </c>
      <c r="V83" s="111" t="n">
        <v>0</v>
      </c>
      <c r="W83" s="114" t="n">
        <v>0</v>
      </c>
      <c r="X83" s="117" t="n">
        <v>0</v>
      </c>
      <c r="Y83" s="120" t="n">
        <v>0</v>
      </c>
      <c r="Z83" s="123" t="n">
        <v>0</v>
      </c>
      <c r="AA83" s="127" t="n">
        <v>0</v>
      </c>
      <c r="AB83" s="130" t="n">
        <v>0</v>
      </c>
      <c r="AC83" s="133" t="n">
        <v>0</v>
      </c>
      <c r="AD83" s="136" t="n">
        <v>0</v>
      </c>
      <c r="AE83" s="139" t="n">
        <v>1</v>
      </c>
      <c r="AF83" s="142" t="n">
        <v>0</v>
      </c>
      <c r="AN83" t="n">
        <v>0</v>
      </c>
      <c r="AO83" t="n">
        <v>0</v>
      </c>
    </row>
    <row r="84">
      <c r="A84" s="22">
        <f>"https://open.spotify.com/playlist/" &amp; C84</f>
        <v/>
      </c>
      <c r="B84" s="1" t="inlineStr">
        <is>
          <t>LEGENDARY Dubrovnik Coastal Vibes 🌊 | Adriatic Summer Energy</t>
        </is>
      </c>
      <c r="C84" s="1" t="inlineStr">
        <is>
          <t>1dclCP90efdoFkCyYvdkyG</t>
        </is>
      </c>
      <c r="D84" s="3" t="n">
        <v>3</v>
      </c>
      <c r="E84" s="21" t="n">
        <v>0</v>
      </c>
      <c r="F84" s="25" t="n">
        <v>0</v>
      </c>
      <c r="G84" s="26" t="n">
        <v>1</v>
      </c>
      <c r="H84" s="29" t="n">
        <v>0</v>
      </c>
      <c r="I84" s="32" t="n">
        <v>0</v>
      </c>
      <c r="J84" s="74" t="n">
        <v>0</v>
      </c>
      <c r="K84" s="76" t="n">
        <v>0</v>
      </c>
      <c r="L84" s="80" t="n">
        <v>0</v>
      </c>
      <c r="M84" s="83" t="n">
        <v>0</v>
      </c>
      <c r="N84" s="86" t="n">
        <v>0</v>
      </c>
      <c r="O84" s="90" t="n">
        <v>0</v>
      </c>
      <c r="P84" s="93" t="n">
        <v>0</v>
      </c>
      <c r="Q84" s="96" t="n">
        <v>0</v>
      </c>
      <c r="R84" s="98" t="n">
        <v>0</v>
      </c>
      <c r="S84" s="102" t="n">
        <v>0</v>
      </c>
      <c r="T84" s="104" t="n">
        <v>1</v>
      </c>
      <c r="U84" s="108" t="n">
        <v>0</v>
      </c>
      <c r="V84" s="111" t="n">
        <v>0</v>
      </c>
      <c r="W84" s="114" t="n">
        <v>0</v>
      </c>
      <c r="X84" s="117" t="n">
        <v>0</v>
      </c>
      <c r="Y84" s="120" t="n">
        <v>0</v>
      </c>
      <c r="Z84" s="123" t="n">
        <v>0</v>
      </c>
      <c r="AA84" s="127" t="n">
        <v>0</v>
      </c>
      <c r="AB84" s="129" t="n">
        <v>1</v>
      </c>
      <c r="AC84" s="133" t="n">
        <v>0</v>
      </c>
      <c r="AD84" s="136" t="n">
        <v>0</v>
      </c>
      <c r="AE84" s="138" t="n">
        <v>0</v>
      </c>
      <c r="AF84" s="142" t="n">
        <v>0</v>
      </c>
      <c r="AN84" t="n">
        <v>0</v>
      </c>
      <c r="AO84" t="n">
        <v>0</v>
      </c>
    </row>
    <row r="85">
      <c r="A85" s="22">
        <f>"https://open.spotify.com/playlist/" &amp; C85</f>
        <v/>
      </c>
      <c r="B85" s="1" t="inlineStr">
        <is>
          <t>VIBRANT Gold Coast Beach Vibes 🌊 | Australia Party Energy</t>
        </is>
      </c>
      <c r="C85" s="1" t="inlineStr">
        <is>
          <t>2VdMvkkc2JKhrzDNvqNeGi</t>
        </is>
      </c>
      <c r="D85" s="3" t="n">
        <v>3</v>
      </c>
      <c r="E85" s="21" t="n">
        <v>0</v>
      </c>
      <c r="F85" s="25" t="n">
        <v>0</v>
      </c>
      <c r="G85" s="25" t="n">
        <v>0</v>
      </c>
      <c r="H85" s="29" t="n">
        <v>0</v>
      </c>
      <c r="I85" s="32" t="n">
        <v>0</v>
      </c>
      <c r="J85" s="74" t="n">
        <v>0</v>
      </c>
      <c r="K85" s="76" t="n">
        <v>0</v>
      </c>
      <c r="L85" s="80" t="n">
        <v>0</v>
      </c>
      <c r="M85" s="83" t="n">
        <v>0</v>
      </c>
      <c r="N85" s="86" t="n">
        <v>0</v>
      </c>
      <c r="O85" s="90" t="n">
        <v>0</v>
      </c>
      <c r="P85" s="93" t="n">
        <v>0</v>
      </c>
      <c r="Q85" s="96" t="n">
        <v>0</v>
      </c>
      <c r="R85" s="98" t="n">
        <v>0</v>
      </c>
      <c r="S85" s="102" t="n">
        <v>0</v>
      </c>
      <c r="T85" s="105" t="n">
        <v>0</v>
      </c>
      <c r="U85" s="108" t="n">
        <v>0</v>
      </c>
      <c r="V85" s="111" t="n">
        <v>0</v>
      </c>
      <c r="W85" s="114" t="n">
        <v>0</v>
      </c>
      <c r="X85" s="117" t="n">
        <v>0</v>
      </c>
      <c r="Y85" s="120" t="n">
        <v>0</v>
      </c>
      <c r="Z85" s="123" t="n">
        <v>0</v>
      </c>
      <c r="AA85" s="127" t="n">
        <v>0</v>
      </c>
      <c r="AB85" s="130" t="n">
        <v>0</v>
      </c>
      <c r="AC85" s="132" t="n">
        <v>1</v>
      </c>
      <c r="AD85" s="136" t="n">
        <v>0</v>
      </c>
      <c r="AE85" s="139" t="n">
        <v>1</v>
      </c>
      <c r="AF85" s="142" t="n">
        <v>0</v>
      </c>
      <c r="AG85" s="144" t="n">
        <v>1</v>
      </c>
      <c r="AH85" s="148" t="n">
        <v>0</v>
      </c>
      <c r="AI85" s="151" t="n">
        <v>0</v>
      </c>
      <c r="AJ85" s="154" t="n">
        <v>0</v>
      </c>
      <c r="AK85" s="154" t="n">
        <v>0</v>
      </c>
      <c r="AN85" t="n">
        <v>0</v>
      </c>
      <c r="AO85" t="n">
        <v>0</v>
      </c>
    </row>
    <row r="86">
      <c r="A86" s="22">
        <f>"https://open.spotify.com/playlist/" &amp; C86</f>
        <v/>
      </c>
      <c r="B86" s="1" t="inlineStr">
        <is>
          <t>MIAMI Night Energy 🌴 | Mar-a-Lago Club &amp; LIV Vibes</t>
        </is>
      </c>
      <c r="C86" s="1" t="inlineStr">
        <is>
          <t>336DKqV3rkD0Ly6S4DnlH0</t>
        </is>
      </c>
      <c r="D86" s="3" t="n">
        <v>4</v>
      </c>
      <c r="E86" s="21" t="n">
        <v>0</v>
      </c>
      <c r="F86" s="25" t="n">
        <v>0</v>
      </c>
      <c r="G86" s="25" t="n">
        <v>0</v>
      </c>
      <c r="H86" s="29" t="n">
        <v>0</v>
      </c>
      <c r="I86" s="32" t="n">
        <v>0</v>
      </c>
      <c r="J86" s="74" t="n">
        <v>0</v>
      </c>
      <c r="K86" s="76" t="n">
        <v>0</v>
      </c>
      <c r="L86" s="80" t="n">
        <v>0</v>
      </c>
      <c r="M86" s="83" t="n">
        <v>0</v>
      </c>
      <c r="N86" s="86" t="n">
        <v>0</v>
      </c>
      <c r="O86" s="90" t="n">
        <v>0</v>
      </c>
      <c r="P86" s="92" t="n">
        <v>1</v>
      </c>
      <c r="Q86" s="96" t="n">
        <v>0</v>
      </c>
      <c r="R86" s="98" t="n">
        <v>0</v>
      </c>
      <c r="S86" s="102" t="n">
        <v>0</v>
      </c>
      <c r="T86" s="105" t="n">
        <v>0</v>
      </c>
      <c r="U86" s="108" t="n">
        <v>0</v>
      </c>
      <c r="V86" s="111" t="n">
        <v>0</v>
      </c>
      <c r="W86" s="114" t="n">
        <v>0</v>
      </c>
      <c r="X86" s="117" t="n">
        <v>0</v>
      </c>
      <c r="Y86" s="119" t="n">
        <v>1</v>
      </c>
      <c r="Z86" s="121" t="n">
        <v>1</v>
      </c>
      <c r="AA86" s="127" t="n">
        <v>0</v>
      </c>
      <c r="AB86" s="130" t="n">
        <v>0</v>
      </c>
      <c r="AC86" s="133" t="n">
        <v>0</v>
      </c>
      <c r="AD86" s="136" t="n">
        <v>0</v>
      </c>
      <c r="AE86" s="138" t="n">
        <v>0</v>
      </c>
      <c r="AF86" s="142" t="n">
        <v>0</v>
      </c>
      <c r="AG86" s="144" t="n">
        <v>1</v>
      </c>
      <c r="AN86" t="n">
        <v>0</v>
      </c>
      <c r="AO86" t="n">
        <v>0</v>
      </c>
    </row>
    <row r="87">
      <c r="A87" s="22">
        <f>"https://open.spotify.com/playlist/" &amp; C87</f>
        <v/>
      </c>
      <c r="B87" s="1" t="inlineStr">
        <is>
          <t>LEGENDARY Ushuaïa, Ocean Club &amp; Nikki Beach Vibes | Beach Club Anthems 🌊</t>
        </is>
      </c>
      <c r="C87" s="1" t="inlineStr">
        <is>
          <t>6YXtsPp7zWvj8fzDbT7axE</t>
        </is>
      </c>
      <c r="D87" s="3" t="n">
        <v>5</v>
      </c>
      <c r="E87" s="21" t="n">
        <v>0</v>
      </c>
      <c r="F87" s="25" t="n">
        <v>0</v>
      </c>
      <c r="G87" s="25" t="n">
        <v>0</v>
      </c>
      <c r="H87" s="29" t="n">
        <v>0</v>
      </c>
      <c r="I87" s="32" t="n">
        <v>0</v>
      </c>
      <c r="J87" s="73" t="n">
        <v>1</v>
      </c>
      <c r="K87" s="76" t="n">
        <v>0</v>
      </c>
      <c r="L87" s="79" t="n">
        <v>1</v>
      </c>
      <c r="M87" s="82" t="n">
        <v>1</v>
      </c>
      <c r="N87" s="86" t="n">
        <v>0</v>
      </c>
      <c r="O87" s="90" t="n">
        <v>0</v>
      </c>
      <c r="P87" s="93" t="n">
        <v>0</v>
      </c>
      <c r="Q87" s="96" t="n">
        <v>0</v>
      </c>
      <c r="R87" s="99" t="n">
        <v>1</v>
      </c>
      <c r="S87" s="102" t="n">
        <v>0</v>
      </c>
      <c r="T87" s="105" t="n">
        <v>0</v>
      </c>
      <c r="U87" s="107" t="n">
        <v>1</v>
      </c>
      <c r="V87" s="111" t="n">
        <v>0</v>
      </c>
      <c r="W87" s="114" t="n">
        <v>0</v>
      </c>
      <c r="X87" s="117" t="n">
        <v>0</v>
      </c>
      <c r="Y87" s="120" t="n">
        <v>0</v>
      </c>
      <c r="Z87" s="123" t="n">
        <v>0</v>
      </c>
      <c r="AA87" s="127" t="n">
        <v>0</v>
      </c>
      <c r="AB87" s="130" t="n">
        <v>0</v>
      </c>
      <c r="AC87" s="133" t="n">
        <v>0</v>
      </c>
      <c r="AD87" s="136" t="n">
        <v>0</v>
      </c>
      <c r="AE87" s="138" t="n">
        <v>0</v>
      </c>
      <c r="AF87" s="142" t="n">
        <v>0</v>
      </c>
      <c r="AN87" t="n">
        <v>0</v>
      </c>
      <c r="AO87" t="n">
        <v>0</v>
      </c>
    </row>
    <row r="88">
      <c r="A88" s="22">
        <f>"https://open.spotify.com/playlist/" &amp; C88</f>
        <v/>
      </c>
      <c r="B88" s="1" t="inlineStr">
        <is>
          <t>AMAZING Summer BBQ Playlist 🍔 | Backyard Party Vibes</t>
        </is>
      </c>
      <c r="C88" s="1" t="inlineStr">
        <is>
          <t>1kxtSG7JuZFYvYAXWC96JO</t>
        </is>
      </c>
      <c r="D88" s="3" t="n">
        <v>9</v>
      </c>
      <c r="E88" s="21" t="n">
        <v>0</v>
      </c>
      <c r="F88" s="25" t="n">
        <v>0</v>
      </c>
      <c r="G88" s="25" t="n">
        <v>0</v>
      </c>
      <c r="H88" s="29" t="n">
        <v>0</v>
      </c>
      <c r="I88" s="32" t="n">
        <v>0</v>
      </c>
      <c r="J88" s="74" t="n">
        <v>0</v>
      </c>
      <c r="K88" s="77" t="n">
        <v>1</v>
      </c>
      <c r="L88" s="80" t="n">
        <v>0</v>
      </c>
      <c r="M88" s="83" t="n">
        <v>-1</v>
      </c>
      <c r="N88" s="86" t="n">
        <v>0</v>
      </c>
      <c r="O88" s="89" t="n">
        <v>1</v>
      </c>
      <c r="P88" s="93" t="n">
        <v>0</v>
      </c>
      <c r="Q88" s="96" t="n">
        <v>0</v>
      </c>
      <c r="R88" s="98" t="n">
        <v>0</v>
      </c>
      <c r="S88" s="102" t="n">
        <v>0</v>
      </c>
      <c r="T88" s="105" t="n">
        <v>0</v>
      </c>
      <c r="U88" s="107" t="n">
        <v>1</v>
      </c>
      <c r="V88" s="111" t="n">
        <v>0</v>
      </c>
      <c r="W88" s="114" t="n">
        <v>0</v>
      </c>
      <c r="X88" s="117" t="n">
        <v>0</v>
      </c>
      <c r="Y88" s="119" t="n">
        <v>1</v>
      </c>
      <c r="Z88" s="123" t="n">
        <v>0</v>
      </c>
      <c r="AA88" s="127" t="n">
        <v>0</v>
      </c>
      <c r="AB88" s="130" t="n">
        <v>0</v>
      </c>
      <c r="AC88" s="133" t="n">
        <v>0</v>
      </c>
      <c r="AD88" s="136" t="n">
        <v>0</v>
      </c>
      <c r="AE88" s="138" t="n">
        <v>0</v>
      </c>
      <c r="AF88" s="141" t="n">
        <v>1</v>
      </c>
      <c r="AG88" s="144" t="n">
        <v>1</v>
      </c>
      <c r="AH88" s="148" t="n">
        <v>0</v>
      </c>
      <c r="AI88" s="151" t="n">
        <v>0</v>
      </c>
      <c r="AJ88" s="154" t="n">
        <v>0</v>
      </c>
      <c r="AK88" s="152" t="n">
        <v>1</v>
      </c>
      <c r="AL88" s="156" t="n">
        <v>0</v>
      </c>
      <c r="AM88" s="160" t="n">
        <v>0</v>
      </c>
      <c r="AN88" s="163" t="n">
        <v>0</v>
      </c>
      <c r="AO88" s="163" t="n">
        <v>0</v>
      </c>
      <c r="AP88" s="166" t="n">
        <v>0</v>
      </c>
      <c r="AQ88" s="169" t="n">
        <v>0</v>
      </c>
      <c r="AR88" s="171" t="n">
        <v>1</v>
      </c>
      <c r="AS88" s="175" t="n">
        <v>0</v>
      </c>
      <c r="AT88" s="178" t="n">
        <v>0</v>
      </c>
      <c r="AU88" s="178" t="n">
        <v>0</v>
      </c>
      <c r="AV88" s="181" t="n">
        <v>0</v>
      </c>
      <c r="AW88" s="183" t="n">
        <v>0</v>
      </c>
      <c r="AX88" s="183" t="n">
        <v>0</v>
      </c>
      <c r="AY88" s="186" t="n">
        <v>1</v>
      </c>
      <c r="AZ88" s="189" t="n">
        <v>0</v>
      </c>
      <c r="BA88" s="192" t="n">
        <v>0</v>
      </c>
      <c r="BB88" s="196" t="n">
        <v>0</v>
      </c>
      <c r="BC88" s="199" t="n">
        <v>0</v>
      </c>
      <c r="BD88" s="201" t="n">
        <v>1</v>
      </c>
      <c r="BE88" s="205" t="n">
        <v>0</v>
      </c>
      <c r="BF88" s="205" t="n">
        <v>0</v>
      </c>
      <c r="BG88" s="208" t="n">
        <v>0</v>
      </c>
      <c r="BH88" s="211" t="n">
        <v>0</v>
      </c>
      <c r="BI88" s="211" t="n">
        <v>0</v>
      </c>
      <c r="BJ88" s="211" t="n">
        <v>0</v>
      </c>
      <c r="BK88" s="211" t="n">
        <v>0</v>
      </c>
      <c r="BL88" s="211" t="n">
        <v>0</v>
      </c>
      <c r="BM88" s="211" t="n">
        <v>0</v>
      </c>
      <c r="BN88" s="215" t="n">
        <v>0</v>
      </c>
      <c r="BO88" s="215" t="n">
        <v>0</v>
      </c>
      <c r="BP88" s="215" t="n">
        <v>0</v>
      </c>
      <c r="BQ88" s="215" t="n">
        <v>0</v>
      </c>
    </row>
    <row r="89">
      <c r="A89" s="22">
        <f>"https://open.spotify.com/playlist/" &amp; C89</f>
        <v/>
      </c>
      <c r="B89" s="1" t="inlineStr">
        <is>
          <t>ROSÉ All Day 🍷 | ICONIC Party All Night #SummerVibes</t>
        </is>
      </c>
      <c r="C89" s="1" t="inlineStr">
        <is>
          <t>19Gv1XgzFibVDIKXLZUH0P</t>
        </is>
      </c>
      <c r="D89" s="3" t="n">
        <v>4</v>
      </c>
      <c r="E89" s="21" t="n">
        <v>0</v>
      </c>
      <c r="F89" s="26" t="n">
        <v>1</v>
      </c>
      <c r="G89" s="25" t="n">
        <v>0</v>
      </c>
      <c r="H89" s="29" t="n">
        <v>0</v>
      </c>
      <c r="I89" s="32" t="n">
        <v>0</v>
      </c>
      <c r="J89" s="73" t="n">
        <v>1</v>
      </c>
      <c r="K89" s="76" t="n">
        <v>0</v>
      </c>
      <c r="L89" s="80" t="n">
        <v>0</v>
      </c>
      <c r="M89" s="83" t="n">
        <v>0</v>
      </c>
      <c r="N89" s="86" t="n">
        <v>0</v>
      </c>
      <c r="O89" s="90" t="n">
        <v>0</v>
      </c>
      <c r="P89" s="93" t="n">
        <v>0</v>
      </c>
      <c r="Q89" s="96" t="n">
        <v>0</v>
      </c>
      <c r="R89" s="98" t="n">
        <v>0</v>
      </c>
      <c r="S89" s="102" t="n">
        <v>0</v>
      </c>
      <c r="T89" s="105" t="n">
        <v>0</v>
      </c>
      <c r="U89" s="108" t="n">
        <v>0</v>
      </c>
      <c r="V89" s="111" t="n">
        <v>0</v>
      </c>
      <c r="W89" s="114" t="n">
        <v>0</v>
      </c>
      <c r="X89" s="117" t="n">
        <v>0</v>
      </c>
      <c r="Y89" s="119" t="n">
        <v>1</v>
      </c>
      <c r="Z89" s="123" t="n">
        <v>0</v>
      </c>
      <c r="AA89" s="127" t="n">
        <v>0</v>
      </c>
      <c r="AB89" s="129" t="n">
        <v>1</v>
      </c>
      <c r="AC89" s="133" t="n">
        <v>0</v>
      </c>
      <c r="AD89" s="136" t="n">
        <v>0</v>
      </c>
      <c r="AE89" s="138" t="n">
        <v>0</v>
      </c>
      <c r="AF89" s="142" t="n">
        <v>0</v>
      </c>
      <c r="AG89" s="145" t="n">
        <v>0</v>
      </c>
      <c r="AH89" s="148" t="n">
        <v>0</v>
      </c>
      <c r="AI89" s="151" t="n">
        <v>0</v>
      </c>
      <c r="AJ89" s="154" t="n">
        <v>0</v>
      </c>
      <c r="AK89" s="154" t="n">
        <v>0</v>
      </c>
      <c r="AN89" t="n">
        <v>0</v>
      </c>
      <c r="AO89" t="n">
        <v>0</v>
      </c>
    </row>
    <row r="90">
      <c r="A90" s="22">
        <f>"https://open.spotify.com/playlist/" &amp; C90</f>
        <v/>
      </c>
      <c r="B90" s="1" t="inlineStr">
        <is>
          <t>WEDDING Party Summer 2026 💍 | Crazy Celebration Vibes</t>
        </is>
      </c>
      <c r="C90" s="1" t="inlineStr">
        <is>
          <t>3evztzgJdfpjxY3BEm3AAL</t>
        </is>
      </c>
      <c r="D90" s="3" t="n">
        <v>81</v>
      </c>
      <c r="E90" s="21" t="n">
        <v>0</v>
      </c>
      <c r="F90" s="25" t="n">
        <v>0</v>
      </c>
      <c r="G90" s="25" t="n">
        <v>0</v>
      </c>
      <c r="H90" s="29" t="n">
        <v>0</v>
      </c>
      <c r="I90" s="31" t="n">
        <v>1</v>
      </c>
      <c r="J90" s="73" t="n">
        <v>1</v>
      </c>
      <c r="K90" s="77" t="n">
        <v>3</v>
      </c>
      <c r="L90" s="79" t="n">
        <v>2</v>
      </c>
      <c r="M90" s="83" t="n">
        <v>0</v>
      </c>
      <c r="N90" s="85" t="n">
        <v>3</v>
      </c>
      <c r="O90" s="90" t="n">
        <v>0</v>
      </c>
      <c r="P90" s="92" t="n">
        <v>1</v>
      </c>
      <c r="Q90" s="95" t="n">
        <v>2</v>
      </c>
      <c r="R90" s="99" t="n">
        <v>1</v>
      </c>
      <c r="S90" s="101" t="n">
        <v>1</v>
      </c>
      <c r="T90" s="105" t="n">
        <v>0</v>
      </c>
      <c r="U90" s="107" t="n">
        <v>1</v>
      </c>
      <c r="V90" s="110" t="n">
        <v>2</v>
      </c>
      <c r="W90" s="114" t="n">
        <v>0</v>
      </c>
      <c r="X90" s="117" t="n">
        <v>0</v>
      </c>
      <c r="Y90" s="119" t="n">
        <v>1</v>
      </c>
      <c r="Z90" s="121" t="n">
        <v>2</v>
      </c>
      <c r="AA90" s="127" t="n">
        <v>0</v>
      </c>
      <c r="AB90" s="129" t="n">
        <v>2</v>
      </c>
      <c r="AC90" s="132" t="n">
        <v>2</v>
      </c>
      <c r="AD90" s="136" t="n">
        <v>0</v>
      </c>
      <c r="AE90" s="138" t="n">
        <v>0</v>
      </c>
      <c r="AF90" s="141" t="n">
        <v>3</v>
      </c>
      <c r="AG90" s="144" t="n">
        <v>1</v>
      </c>
      <c r="AH90" s="146" t="n">
        <v>4</v>
      </c>
      <c r="AI90" s="150" t="n">
        <v>1</v>
      </c>
      <c r="AJ90" s="152" t="n">
        <v>1</v>
      </c>
      <c r="AK90" s="152" t="n">
        <v>1</v>
      </c>
      <c r="AL90" s="157" t="n">
        <v>2</v>
      </c>
      <c r="AM90" s="159" t="n">
        <v>2</v>
      </c>
      <c r="AN90" s="162" t="n">
        <v>2</v>
      </c>
      <c r="AO90" s="162" t="n">
        <v>1</v>
      </c>
      <c r="AP90" s="165" t="n">
        <v>1</v>
      </c>
      <c r="AQ90" s="169" t="n">
        <v>0</v>
      </c>
      <c r="AR90" s="171" t="n">
        <v>1</v>
      </c>
      <c r="AS90" s="174" t="n">
        <v>2</v>
      </c>
      <c r="AT90" s="177" t="n">
        <v>2</v>
      </c>
      <c r="AU90" s="177" t="n">
        <v>1</v>
      </c>
      <c r="AV90" s="181" t="n">
        <v>0</v>
      </c>
      <c r="AW90" s="184" t="n">
        <v>1</v>
      </c>
      <c r="AX90" s="184" t="n">
        <v>1</v>
      </c>
      <c r="AY90" s="186" t="n">
        <v>1</v>
      </c>
      <c r="AZ90" s="190" t="n">
        <v>1</v>
      </c>
      <c r="BA90" s="191" t="n">
        <v>3</v>
      </c>
      <c r="BB90" s="196" t="n">
        <v>0</v>
      </c>
      <c r="BC90" s="199" t="n">
        <v>0</v>
      </c>
      <c r="BD90" s="202" t="n">
        <v>0</v>
      </c>
      <c r="BE90" s="204" t="n">
        <v>3</v>
      </c>
      <c r="BF90" s="204" t="n">
        <v>3</v>
      </c>
      <c r="BG90" s="206" t="n">
        <v>6</v>
      </c>
      <c r="BH90" s="210" t="n">
        <v>3</v>
      </c>
      <c r="BI90" s="210" t="n">
        <v>2</v>
      </c>
      <c r="BJ90" s="211" t="n">
        <v>0</v>
      </c>
      <c r="BK90" s="211" t="n">
        <v>0</v>
      </c>
      <c r="BL90" s="210" t="n">
        <v>1</v>
      </c>
      <c r="BM90" s="210" t="n">
        <v>1</v>
      </c>
      <c r="BN90" s="214" t="n">
        <v>1</v>
      </c>
      <c r="BO90" s="215" t="n">
        <v>-1</v>
      </c>
      <c r="BP90" s="214" t="n">
        <v>3</v>
      </c>
      <c r="BQ90" s="214" t="n">
        <v>2</v>
      </c>
    </row>
    <row r="91">
      <c r="A91" s="22">
        <f>"https://open.spotify.com/playlist/" &amp; C91</f>
        <v/>
      </c>
      <c r="B91" s="1" t="inlineStr">
        <is>
          <t>100% Drip Rooftop Party 🥂 | Champagne &amp; Sunset Flex</t>
        </is>
      </c>
      <c r="C91" s="1" t="inlineStr">
        <is>
          <t>3q23cPjz3HVpbYdInE2qFH</t>
        </is>
      </c>
      <c r="D91" s="3" t="n">
        <v>1</v>
      </c>
      <c r="E91" s="21" t="n">
        <v>0</v>
      </c>
      <c r="F91" s="25" t="n">
        <v>0</v>
      </c>
      <c r="G91" s="25" t="n">
        <v>0</v>
      </c>
      <c r="H91" s="29" t="n">
        <v>0</v>
      </c>
      <c r="I91" s="32" t="n">
        <v>0</v>
      </c>
      <c r="J91" s="74" t="n">
        <v>0</v>
      </c>
      <c r="K91" s="76" t="n">
        <v>0</v>
      </c>
      <c r="L91" s="80" t="n">
        <v>0</v>
      </c>
      <c r="M91" s="83" t="n">
        <v>0</v>
      </c>
      <c r="N91" s="86" t="n">
        <v>0</v>
      </c>
      <c r="O91" s="89" t="n">
        <v>1</v>
      </c>
      <c r="P91" s="93" t="n">
        <v>0</v>
      </c>
      <c r="Q91" s="96" t="n">
        <v>0</v>
      </c>
      <c r="R91" s="98" t="n">
        <v>0</v>
      </c>
      <c r="S91" s="102" t="n">
        <v>0</v>
      </c>
      <c r="T91" s="105" t="n">
        <v>0</v>
      </c>
      <c r="U91" s="108" t="n">
        <v>0</v>
      </c>
      <c r="V91" s="111" t="n">
        <v>0</v>
      </c>
      <c r="W91" s="114" t="n">
        <v>0</v>
      </c>
      <c r="X91" s="117" t="n">
        <v>0</v>
      </c>
      <c r="Y91" s="120" t="n">
        <v>0</v>
      </c>
      <c r="Z91" s="123" t="n">
        <v>0</v>
      </c>
      <c r="AA91" s="127" t="n">
        <v>0</v>
      </c>
      <c r="AB91" s="130" t="n">
        <v>0</v>
      </c>
      <c r="AC91" s="133" t="n">
        <v>0</v>
      </c>
      <c r="AD91" s="136" t="n">
        <v>0</v>
      </c>
      <c r="AE91" s="138" t="n">
        <v>0</v>
      </c>
      <c r="AF91" s="142" t="n">
        <v>0</v>
      </c>
    </row>
  </sheetData>
  <autoFilter ref="A1:D92">
    <sortState ref="A2:D91">
      <sortCondition descending="1" ref="D1:D92"/>
    </sortState>
  </autoFilter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65"/>
  <sheetViews>
    <sheetView showGridLines="0" zoomScaleNormal="100" workbookViewId="0">
      <selection activeCell="D3" sqref="D3"/>
    </sheetView>
  </sheetViews>
  <sheetFormatPr baseColWidth="8" defaultColWidth="9.140625" defaultRowHeight="18.75"/>
  <cols>
    <col width="9.140625" customWidth="1" style="4" min="1" max="1"/>
    <col width="20.85546875" customWidth="1" style="4" min="2" max="2"/>
    <col width="9.140625" customWidth="1" style="4" min="3" max="5"/>
    <col width="10.5703125" customWidth="1" style="10" min="6" max="6"/>
    <col width="71.140625" customWidth="1" style="10" min="7" max="7"/>
    <col width="9.140625" customWidth="1" style="4" min="8" max="8"/>
    <col width="16" customWidth="1" style="4" min="9" max="9"/>
    <col width="19.5703125" customWidth="1" style="4" min="10" max="13"/>
    <col width="9.140625" customWidth="1" style="4" min="14" max="18"/>
    <col width="21" customWidth="1" style="4" min="19" max="19"/>
    <col width="9.140625" customWidth="1" style="4" min="20" max="75"/>
    <col width="9.140625" customWidth="1" style="4" min="76" max="16384"/>
  </cols>
  <sheetData>
    <row r="1" ht="51" customHeight="1">
      <c r="I1" s="13" t="inlineStr">
        <is>
          <t>Daily Follower Growth Over Time</t>
        </is>
      </c>
      <c r="X1" t="inlineStr">
        <is>
          <t>2026-02-28</t>
        </is>
      </c>
    </row>
    <row r="2">
      <c r="B2" s="5" t="inlineStr">
        <is>
          <t>Account</t>
        </is>
      </c>
      <c r="C2" s="5" t="inlineStr">
        <is>
          <t>Total</t>
        </is>
      </c>
      <c r="D2" s="5" t="inlineStr">
        <is>
          <t>Growth</t>
        </is>
      </c>
      <c r="F2" s="212" t="inlineStr">
        <is>
          <t>Top Daily Growth</t>
        </is>
      </c>
      <c r="G2" s="213" t="n"/>
      <c r="I2" s="14" t="inlineStr">
        <is>
          <t>Date</t>
        </is>
      </c>
      <c r="J2" s="14" t="inlineStr">
        <is>
          <t>Kim Kay</t>
        </is>
      </c>
      <c r="K2" s="14" t="inlineStr">
        <is>
          <t>Arthur LeGrand</t>
        </is>
      </c>
      <c r="L2" s="14" t="inlineStr">
        <is>
          <t>Titan Hawk</t>
        </is>
      </c>
      <c r="M2" s="15" t="inlineStr">
        <is>
          <t>Total</t>
        </is>
      </c>
    </row>
    <row r="3">
      <c r="B3" s="9" t="inlineStr">
        <is>
          <t>Kim Kay</t>
        </is>
      </c>
      <c r="C3" s="9">
        <f>SUM(Kim_Kay!D:D)</f>
        <v/>
      </c>
      <c r="D3" s="9">
        <f>SUM(INDEX(Kim_Kay!$2:$9999,0,$B$23))</f>
        <v/>
      </c>
      <c r="F3" s="212" t="inlineStr">
        <is>
          <t>Kim Kay</t>
        </is>
      </c>
      <c r="G3" s="213" t="n"/>
      <c r="I3" s="16">
        <f t="array" ref="I3">IF(ROW()-3+5&gt;$B$23,"",INDEX(Kim_Kay!$1:$1,1,ROW()-3+5))</f>
        <v/>
      </c>
      <c r="J3" s="17">
        <f>IF($I3="","",IFERROR(SUM(INDEX(Kim_Kay!$A$2:$ZL$199,0,ROW()-3+5)),0))</f>
        <v/>
      </c>
      <c r="K3" s="17">
        <f>IF($I3="","",IFERROR(SUM(INDEX(Arthur_LeGrand!$A$2:$ZS$200,0,ROW()-3+5)),0))</f>
        <v/>
      </c>
      <c r="L3" s="17">
        <f>IF($I3="","",IFERROR(SUM(INDEX(Titan_Hawk!$A$2:$ZS$200,0,ROW()-3+5)),0))</f>
        <v/>
      </c>
      <c r="M3" s="124">
        <f>IF($I3="","",J3+K3+L3)</f>
        <v/>
      </c>
    </row>
    <row r="4">
      <c r="B4" s="9" t="inlineStr">
        <is>
          <t>Arthur LeGrand</t>
        </is>
      </c>
      <c r="C4" s="9">
        <f>SUM(Arthur_LeGrand!D:D)</f>
        <v/>
      </c>
      <c r="D4" s="9">
        <f>SUM(INDEX(Arthur_LeGrand!$2:$10000,0,$B$24))</f>
        <v/>
      </c>
      <c r="F4" s="6">
        <f t="array" ref="F4">INT(LARGE(INDEX(Kim_Kay!$A$2:$ZL$199,0,$B$23)+ROW(Kim_Kay!$A$2:$A$199)/1000000,ROW()-3))</f>
        <v/>
      </c>
      <c r="G4" s="11">
        <f t="array" ref="G4">IF(F4=0,"-",IFERROR(INDEX(Kim_Kay!$B$2:$B$199,MATCH(LARGE(INDEX(Kim_Kay!$A$2:$ZL$199,0,$B$23)+ROW(Kim_Kay!$A$2:$A$199)/1000000,ROW()-3),INDEX(Kim_Kay!$A$2:$ZL$199,0,$B$23)+ROW(Kim_Kay!$A$2:$A$199)/1000000,0)),""))</f>
        <v/>
      </c>
      <c r="I4" s="16">
        <f t="array" ref="I4">IF(ROW()-3+5&gt;$B$23,"",INDEX(Kim_Kay!$1:$1,1,ROW()-3+5))</f>
        <v/>
      </c>
      <c r="J4" s="17">
        <f>IF($I4="","",IFERROR(SUM(INDEX(Kim_Kay!$A$2:$ZL$199,0,ROW()-3+5)),0))</f>
        <v/>
      </c>
      <c r="K4" s="17">
        <f>IF($I4="","",IFERROR(SUM(INDEX(Arthur_LeGrand!$A$2:$ZS$200,0,ROW()-3+5)),0))</f>
        <v/>
      </c>
      <c r="L4" s="17">
        <f>IF($I4="","",IFERROR(SUM(INDEX(Titan_Hawk!$A$2:$ZS$200,0,ROW()-3+5)),0))</f>
        <v/>
      </c>
      <c r="M4" s="124">
        <f>IF($I4="","",J4+K4+L4)</f>
        <v/>
      </c>
    </row>
    <row r="5">
      <c r="B5" s="9" t="inlineStr">
        <is>
          <t>Titan Hawk</t>
        </is>
      </c>
      <c r="C5" s="9">
        <f>SUM(Titan_Hawk!D:D)</f>
        <v/>
      </c>
      <c r="D5" s="9">
        <f>SUM(INDEX(Titan_Hawk!$2:$10000,0,$B$25))</f>
        <v/>
      </c>
      <c r="F5" s="7">
        <f t="array" ref="F5">INT(LARGE(INDEX(Kim_Kay!$A$2:$ZL$199,0,$B$23)+ROW(Kim_Kay!$A$2:$A$199)/1000000,ROW()-3))</f>
        <v/>
      </c>
      <c r="G5" s="11">
        <f t="array" ref="G5">IF(F5=0,"-",IFERROR(INDEX(Kim_Kay!$B$2:$B$199,MATCH(LARGE(INDEX(Kim_Kay!$A$2:$ZL$199,0,$B$23)+ROW(Kim_Kay!$A$2:$A$199)/1000000,ROW()-3),INDEX(Kim_Kay!$A$2:$ZL$199,0,$B$23)+ROW(Kim_Kay!$A$2:$A$199)/1000000,0)),""))</f>
        <v/>
      </c>
      <c r="I5" s="16">
        <f t="array" ref="I5">IF(ROW()-3+5&gt;$B$23,"",INDEX(Kim_Kay!$1:$1,1,ROW()-3+5))</f>
        <v/>
      </c>
      <c r="J5" s="17">
        <f>IF($I5="","",IFERROR(SUM(INDEX(Kim_Kay!$A$2:$ZL$199,0,ROW()-3+5)),0))</f>
        <v/>
      </c>
      <c r="K5" s="17">
        <f>IF($I5="","",IFERROR(SUM(INDEX(Arthur_LeGrand!$A$2:$ZS$200,0,ROW()-3+5)),0))</f>
        <v/>
      </c>
      <c r="L5" s="17">
        <f>IF($I5="","",IFERROR(SUM(INDEX(Titan_Hawk!$A$2:$ZS$200,0,ROW()-3+5)),0))</f>
        <v/>
      </c>
      <c r="M5" s="124">
        <f>IF($I5="","",J5+K5+L5)</f>
        <v/>
      </c>
    </row>
    <row r="6">
      <c r="B6" s="87" t="inlineStr">
        <is>
          <t>ALL</t>
        </is>
      </c>
      <c r="C6" s="87">
        <f>SUM(C3:C5)</f>
        <v/>
      </c>
      <c r="D6" s="87">
        <f>SUM(D3:D5)</f>
        <v/>
      </c>
      <c r="F6" s="7">
        <f t="array" ref="F6">INT(LARGE(INDEX(Kim_Kay!$A$2:$ZL$199,0,$B$23)+ROW(Kim_Kay!$A$2:$A$199)/1000000,ROW()-3))</f>
        <v/>
      </c>
      <c r="G6" s="11">
        <f t="array" ref="G6">IF(F6=0,"-",IFERROR(INDEX(Kim_Kay!$B$2:$B$199,MATCH(LARGE(INDEX(Kim_Kay!$A$2:$ZL$199,0,$B$23)+ROW(Kim_Kay!$A$2:$A$199)/1000000,ROW()-3),INDEX(Kim_Kay!$A$2:$ZL$199,0,$B$23)+ROW(Kim_Kay!$A$2:$A$199)/1000000,0)),""))</f>
        <v/>
      </c>
      <c r="I6" s="16">
        <f t="array" ref="I6">IF(ROW()-3+5&gt;$B$23,"",INDEX(Kim_Kay!$1:$1,1,ROW()-3+5))</f>
        <v/>
      </c>
      <c r="J6" s="17">
        <f>IF($I6="","",IFERROR(SUM(INDEX(Kim_Kay!$A$2:$ZL$199,0,ROW()-3+5)),0))</f>
        <v/>
      </c>
      <c r="K6" s="17">
        <f>IF($I6="","",IFERROR(SUM(INDEX(Arthur_LeGrand!$A$2:$ZS$200,0,ROW()-3+5)),0))</f>
        <v/>
      </c>
      <c r="L6" s="17">
        <f>IF($I6="","",IFERROR(SUM(INDEX(Titan_Hawk!$A$2:$ZS$200,0,ROW()-3+5)),0))</f>
        <v/>
      </c>
      <c r="M6" s="124">
        <f>IF($I6="","",J6+K6+L6)</f>
        <v/>
      </c>
    </row>
    <row r="7">
      <c r="F7" s="7">
        <f t="array" ref="F7">INT(LARGE(INDEX(Kim_Kay!$A$2:$ZL$199,0,$B$23)+ROW(Kim_Kay!$A$2:$A$199)/1000000,ROW()-3))</f>
        <v/>
      </c>
      <c r="G7" s="11">
        <f t="array" ref="G7">IF(F7=0,"-",IFERROR(INDEX(Kim_Kay!$B$2:$B$199,MATCH(LARGE(INDEX(Kim_Kay!$A$2:$ZL$199,0,$B$23)+ROW(Kim_Kay!$A$2:$A$199)/1000000,ROW()-3),INDEX(Kim_Kay!$A$2:$ZL$199,0,$B$23)+ROW(Kim_Kay!$A$2:$A$199)/1000000,0)),""))</f>
        <v/>
      </c>
      <c r="I7" s="16">
        <f t="array" ref="I7">IF(ROW()-3+5&gt;$B$23,"",INDEX(Kim_Kay!$1:$1,1,ROW()-3+5))</f>
        <v/>
      </c>
      <c r="J7" s="17">
        <f>IF($I7="","",IFERROR(SUM(INDEX(Kim_Kay!$A$2:$ZL$199,0,ROW()-3+5)),0))</f>
        <v/>
      </c>
      <c r="K7" s="17">
        <f>IF($I7="","",IFERROR(SUM(INDEX(Arthur_LeGrand!$A$2:$ZS$200,0,ROW()-3+5)),0))</f>
        <v/>
      </c>
      <c r="L7" s="17">
        <f>IF($I7="","",IFERROR(SUM(INDEX(Titan_Hawk!$A$2:$ZS$200,0,ROW()-3+5)),0))</f>
        <v/>
      </c>
      <c r="M7" s="124">
        <f>IF($I7="","",J7+K7+L7)</f>
        <v/>
      </c>
    </row>
    <row r="8">
      <c r="F8" s="8">
        <f t="array" ref="F8">INT(LARGE(INDEX(Kim_Kay!$A$2:$ZL$199,0,$B$23)+ROW(Kim_Kay!$A$2:$A$199)/1000000,ROW()-3))</f>
        <v/>
      </c>
      <c r="G8" s="11">
        <f t="array" ref="G8">IF(F8=0,"-",IFERROR(INDEX(Kim_Kay!$B$2:$B$199,MATCH(LARGE(INDEX(Kim_Kay!$A$2:$ZL$199,0,$B$23)+ROW(Kim_Kay!$A$2:$A$199)/1000000,ROW()-3),INDEX(Kim_Kay!$A$2:$ZL$199,0,$B$23)+ROW(Kim_Kay!$A$2:$A$199)/1000000,0)),""))</f>
        <v/>
      </c>
      <c r="I8" s="16">
        <f t="array" ref="I8">IF(ROW()-3+5&gt;$B$23,"",INDEX(Kim_Kay!$1:$1,1,ROW()-3+5))</f>
        <v/>
      </c>
      <c r="J8" s="17">
        <f>IF($I8="","",IFERROR(SUM(INDEX(Kim_Kay!$A$2:$ZL$199,0,ROW()-3+5)),0))</f>
        <v/>
      </c>
      <c r="K8" s="17">
        <f>IF($I8="","",IFERROR(SUM(INDEX(Arthur_LeGrand!$A$2:$ZS$200,0,ROW()-3+5)),0))</f>
        <v/>
      </c>
      <c r="L8" s="17">
        <f>IF($I8="","",IFERROR(SUM(INDEX(Titan_Hawk!$A$2:$ZS$200,0,ROW()-3+5)),0))</f>
        <v/>
      </c>
      <c r="M8" s="124">
        <f>IF($I8="","",J8+K8+L8)</f>
        <v/>
      </c>
    </row>
    <row r="9">
      <c r="F9" s="212" t="inlineStr">
        <is>
          <t>Arthur LeGrand</t>
        </is>
      </c>
      <c r="G9" s="213" t="n"/>
      <c r="I9" s="16">
        <f t="array" ref="I9">IF(ROW()-3+5&gt;$B$23,"",INDEX(Kim_Kay!$1:$1,1,ROW()-3+5))</f>
        <v/>
      </c>
      <c r="J9" s="17">
        <f>IF($I9="","",IFERROR(SUM(INDEX(Kim_Kay!$A$2:$ZL$199,0,ROW()-3+5)),0))</f>
        <v/>
      </c>
      <c r="K9" s="17">
        <f>IF($I9="","",IFERROR(SUM(INDEX(Arthur_LeGrand!$A$2:$ZS$200,0,ROW()-3+5)),0))</f>
        <v/>
      </c>
      <c r="L9" s="17">
        <f>IF($I9="","",IFERROR(SUM(INDEX(Titan_Hawk!$A$2:$ZS$200,0,ROW()-3+5)),0))</f>
        <v/>
      </c>
      <c r="M9" s="124">
        <f>IF($I9="","",J9+K9+L9)</f>
        <v/>
      </c>
    </row>
    <row r="10">
      <c r="F10" s="6">
        <f t="array" ref="F10">INT(LARGE(INDEX(Arthur_LeGrand!$A$2:$ZS$200,0,$B$24)+ROW(Arthur_LeGrand!$A$2:$A$200)/1000000,ROW()-9))</f>
        <v/>
      </c>
      <c r="G10" s="11">
        <f t="array" ref="G10">IF(F10=0,"-",IFERROR(INDEX(Arthur_LeGrand!$B$2:$B$200,MATCH(LARGE(INDEX(Arthur_LeGrand!$A$2:$ZS$200,0,$B$24)+ROW(Arthur_LeGrand!$A$2:$A$200)/1000000,ROW()-9),INDEX(Arthur_LeGrand!$A$2:$ZS$200,0,$B$24)+ROW(Arthur_LeGrand!$A$2:$A$200)/1000000,0)),""))</f>
        <v/>
      </c>
      <c r="I10" s="16">
        <f t="array" ref="I10">IF(ROW()-3+5&gt;$B$23,"",INDEX(Kim_Kay!$1:$1,1,ROW()-3+5))</f>
        <v/>
      </c>
      <c r="J10" s="17">
        <f>IF($I10="","",IFERROR(SUM(INDEX(Kim_Kay!$A$2:$ZL$199,0,ROW()-3+5)),0))</f>
        <v/>
      </c>
      <c r="K10" s="17">
        <f>IF($I10="","",IFERROR(SUM(INDEX(Arthur_LeGrand!$A$2:$ZS$200,0,ROW()-3+5)),0))</f>
        <v/>
      </c>
      <c r="L10" s="17">
        <f>IF($I10="","",IFERROR(SUM(INDEX(Titan_Hawk!$A$2:$ZS$200,0,ROW()-3+5)),0))</f>
        <v/>
      </c>
      <c r="M10" s="124">
        <f>IF($I10="","",J10+K10+L10)</f>
        <v/>
      </c>
    </row>
    <row r="11">
      <c r="F11" s="7">
        <f t="array" ref="F11">INT(LARGE(INDEX(Arthur_LeGrand!$A$2:$ZS$200,0,$B$24)+ROW(Arthur_LeGrand!$A$2:$A$200)/1000000,ROW()-9))</f>
        <v/>
      </c>
      <c r="G11" s="11">
        <f t="array" ref="G11">IF(F11=0,"-",IFERROR(INDEX(Arthur_LeGrand!$B$2:$B$200,MATCH(LARGE(INDEX(Arthur_LeGrand!$A$2:$ZS$200,0,$B$24)+ROW(Arthur_LeGrand!$A$2:$A$200)/1000000,ROW()-9),INDEX(Arthur_LeGrand!$A$2:$ZS$200,0,$B$24)+ROW(Arthur_LeGrand!$A$2:$A$200)/1000000,0)),""))</f>
        <v/>
      </c>
      <c r="I11" s="16">
        <f t="array" ref="I11">IF(ROW()-3+5&gt;$B$23,"",INDEX(Kim_Kay!$1:$1,1,ROW()-3+5))</f>
        <v/>
      </c>
      <c r="J11" s="17">
        <f>IF($I11="","",IFERROR(SUM(INDEX(Kim_Kay!$A$2:$ZL$199,0,ROW()-3+5)),0))</f>
        <v/>
      </c>
      <c r="K11" s="17">
        <f>IF($I11="","",IFERROR(SUM(INDEX(Arthur_LeGrand!$A$2:$ZS$200,0,ROW()-3+5)),0))</f>
        <v/>
      </c>
      <c r="L11" s="17">
        <f>IF($I11="","",IFERROR(SUM(INDEX(Titan_Hawk!$A$2:$ZS$200,0,ROW()-3+5)),0))</f>
        <v/>
      </c>
      <c r="M11" s="124">
        <f>IF($I11="","",J11+K11+L11)</f>
        <v/>
      </c>
    </row>
    <row r="12">
      <c r="F12" s="7">
        <f t="array" ref="F12">INT(LARGE(INDEX(Arthur_LeGrand!$A$2:$ZS$200,0,$B$24)+ROW(Arthur_LeGrand!$A$2:$A$200)/1000000,ROW()-9))</f>
        <v/>
      </c>
      <c r="G12" s="11">
        <f t="array" ref="G12">IF(F12=0,"-",IFERROR(INDEX(Arthur_LeGrand!$B$2:$B$200,MATCH(LARGE(INDEX(Arthur_LeGrand!$A$2:$ZS$200,0,$B$24)+ROW(Arthur_LeGrand!$A$2:$A$200)/1000000,ROW()-9),INDEX(Arthur_LeGrand!$A$2:$ZS$200,0,$B$24)+ROW(Arthur_LeGrand!$A$2:$A$200)/1000000,0)),""))</f>
        <v/>
      </c>
      <c r="I12" s="16">
        <f t="array" ref="I12">IF(ROW()-3+5&gt;$B$23,"",INDEX(Kim_Kay!$1:$1,1,ROW()-3+5))</f>
        <v/>
      </c>
      <c r="J12" s="17">
        <f>IF($I12="","",IFERROR(SUM(INDEX(Kim_Kay!$A$2:$ZL$199,0,ROW()-3+5)),0))</f>
        <v/>
      </c>
      <c r="K12" s="17">
        <f>IF($I12="","",IFERROR(SUM(INDEX(Arthur_LeGrand!$A$2:$ZS$200,0,ROW()-3+5)),0))</f>
        <v/>
      </c>
      <c r="L12" s="17">
        <f>IF($I12="","",IFERROR(SUM(INDEX(Titan_Hawk!$A$2:$ZS$200,0,ROW()-3+5)),0))</f>
        <v/>
      </c>
      <c r="M12" s="124">
        <f>IF($I12="","",J12+K12+L12)</f>
        <v/>
      </c>
    </row>
    <row r="13">
      <c r="F13" s="7">
        <f t="array" ref="F13">INT(LARGE(INDEX(Arthur_LeGrand!$A$2:$ZS$200,0,$B$24)+ROW(Arthur_LeGrand!$A$2:$A$200)/1000000,ROW()-9))</f>
        <v/>
      </c>
      <c r="G13" s="11">
        <f t="array" ref="G13">IF(F13=0,"-",IFERROR(INDEX(Arthur_LeGrand!$B$2:$B$200,MATCH(LARGE(INDEX(Arthur_LeGrand!$A$2:$ZS$200,0,$B$24)+ROW(Arthur_LeGrand!$A$2:$A$200)/1000000,ROW()-9),INDEX(Arthur_LeGrand!$A$2:$ZS$200,0,$B$24)+ROW(Arthur_LeGrand!$A$2:$A$200)/1000000,0)),""))</f>
        <v/>
      </c>
      <c r="I13" s="16">
        <f t="array" ref="I13">IF(ROW()-3+5&gt;$B$23,"",INDEX(Kim_Kay!$1:$1,1,ROW()-3+5))</f>
        <v/>
      </c>
      <c r="J13" s="17">
        <f>IF($I13="","",IFERROR(SUM(INDEX(Kim_Kay!$A$2:$ZL$199,0,ROW()-3+5)),0))</f>
        <v/>
      </c>
      <c r="K13" s="17">
        <f>IF($I13="","",IFERROR(SUM(INDEX(Arthur_LeGrand!$A$2:$ZS$200,0,ROW()-3+5)),0))</f>
        <v/>
      </c>
      <c r="L13" s="17">
        <f>IF($I13="","",IFERROR(SUM(INDEX(Titan_Hawk!$A$2:$ZS$200,0,ROW()-3+5)),0))</f>
        <v/>
      </c>
      <c r="M13" s="124">
        <f>IF($I13="","",J13+K13+L13)</f>
        <v/>
      </c>
    </row>
    <row r="14">
      <c r="F14" s="8">
        <f t="array" ref="F14">INT(LARGE(INDEX(Arthur_LeGrand!$A$2:$ZS$200,0,$B$24)+ROW(Arthur_LeGrand!$A$2:$A$200)/1000000,ROW()-9))</f>
        <v/>
      </c>
      <c r="G14" s="11">
        <f t="array" ref="G14">IF(F14=0,"-",IFERROR(INDEX(Arthur_LeGrand!$B$2:$B$200,MATCH(LARGE(INDEX(Arthur_LeGrand!$A$2:$ZS$200,0,$B$24)+ROW(Arthur_LeGrand!$A$2:$A$200)/1000000,ROW()-9),INDEX(Arthur_LeGrand!$A$2:$ZS$200,0,$B$24)+ROW(Arthur_LeGrand!$A$2:$A$200)/1000000,0)),""))</f>
        <v/>
      </c>
      <c r="I14" s="16">
        <f t="array" ref="I14">IF(ROW()-3+5&gt;$B$23,"",INDEX(Kim_Kay!$1:$1,1,ROW()-3+5))</f>
        <v/>
      </c>
      <c r="J14" s="17">
        <f>IF($I14="","",IFERROR(SUM(INDEX(Kim_Kay!$A$2:$ZL$199,0,ROW()-3+5)),0))</f>
        <v/>
      </c>
      <c r="K14" s="17">
        <f>IF($I14="","",IFERROR(SUM(INDEX(Arthur_LeGrand!$A$2:$ZS$200,0,ROW()-3+5)),0))</f>
        <v/>
      </c>
      <c r="L14" s="17">
        <f>IF($I14="","",IFERROR(SUM(INDEX(Titan_Hawk!$A$2:$ZS$200,0,ROW()-3+5)),0))</f>
        <v/>
      </c>
      <c r="M14" s="124">
        <f>IF($I14="","",J14+K14+L14)</f>
        <v/>
      </c>
    </row>
    <row r="15">
      <c r="F15" s="212" t="inlineStr">
        <is>
          <t>Titan Hawk</t>
        </is>
      </c>
      <c r="G15" s="213" t="n"/>
      <c r="I15" s="16">
        <f t="array" ref="I15">IF(ROW()-3+5&gt;$B$23,"",INDEX(Kim_Kay!$1:$1,1,ROW()-3+5))</f>
        <v/>
      </c>
      <c r="J15" s="17">
        <f>IF($I15="","",IFERROR(SUM(INDEX(Kim_Kay!$A$2:$ZL$199,0,ROW()-3+5)),0))</f>
        <v/>
      </c>
      <c r="K15" s="17">
        <f>IF($I15="","",IFERROR(SUM(INDEX(Arthur_LeGrand!$A$2:$ZS$200,0,ROW()-3+5)),0))</f>
        <v/>
      </c>
      <c r="L15" s="17">
        <f>IF($I15="","",IFERROR(SUM(INDEX(Titan_Hawk!$A$2:$ZS$200,0,ROW()-3+5)),0))</f>
        <v/>
      </c>
      <c r="M15" s="124">
        <f>IF($I15="","",J15+K15+L15)</f>
        <v/>
      </c>
    </row>
    <row r="16">
      <c r="F16" s="6">
        <f t="array" ref="F16">INT(LARGE(INDEX(Titan_Hawk!$A$2:$ZS$200,0,$B$25)+ROW(Titan_Hawk!$A$2:$A$200)/1000000,ROW()-15))</f>
        <v/>
      </c>
      <c r="G16" s="11">
        <f t="array" ref="G16">IF(F16=0,"-",IFERROR(INDEX(Titan_Hawk!$B$2:$B$200,MATCH(LARGE(INDEX(Titan_Hawk!$A$2:$ZS$200,0,$B$25)+ROW(Titan_Hawk!$A$2:$A$200)/1000000,ROW()-15),INDEX(Titan_Hawk!$A$2:$ZS$200,0,$B$25)+ROW(Titan_Hawk!$A$2:$A$200)/1000000,0)),""))</f>
        <v/>
      </c>
      <c r="I16" s="16">
        <f t="array" ref="I16">IF(ROW()-3+5&gt;$B$23,"",INDEX(Kim_Kay!$1:$1,1,ROW()-3+5))</f>
        <v/>
      </c>
      <c r="J16" s="17">
        <f>IF($I16="","",IFERROR(SUM(INDEX(Kim_Kay!$A$2:$ZL$199,0,ROW()-3+5)),0))</f>
        <v/>
      </c>
      <c r="K16" s="17">
        <f>IF($I16="","",IFERROR(SUM(INDEX(Arthur_LeGrand!$A$2:$ZS$200,0,ROW()-3+5)),0))</f>
        <v/>
      </c>
      <c r="L16" s="17">
        <f>IF($I16="","",IFERROR(SUM(INDEX(Titan_Hawk!$A$2:$ZS$200,0,ROW()-3+5)),0))</f>
        <v/>
      </c>
      <c r="M16" s="124">
        <f>IF($I16="","",J16+K16+L16)</f>
        <v/>
      </c>
    </row>
    <row r="17">
      <c r="F17" s="7">
        <f t="array" ref="F17">INT(LARGE(INDEX(Titan_Hawk!$A$2:$ZS$200,0,$B$25)+ROW(Titan_Hawk!$A$2:$A$200)/1000000,ROW()-15))</f>
        <v/>
      </c>
      <c r="G17" s="11">
        <f t="array" ref="G17">IF(F17=0,"-",IFERROR(INDEX(Titan_Hawk!$B$2:$B$200,MATCH(LARGE(INDEX(Titan_Hawk!$A$2:$ZS$200,0,$B$25)+ROW(Titan_Hawk!$A$2:$A$200)/1000000,ROW()-15),INDEX(Titan_Hawk!$A$2:$ZS$200,0,$B$25)+ROW(Titan_Hawk!$A$2:$A$200)/1000000,0)),""))</f>
        <v/>
      </c>
      <c r="I17" s="16">
        <f t="array" ref="I17">IF(ROW()-3+5&gt;$B$23,"",INDEX(Kim_Kay!$1:$1,1,ROW()-3+5))</f>
        <v/>
      </c>
      <c r="J17" s="17">
        <f>IF($I17="","",IFERROR(SUM(INDEX(Kim_Kay!$A$2:$ZL$199,0,ROW()-3+5)),0))</f>
        <v/>
      </c>
      <c r="K17" s="17">
        <f>IF($I17="","",IFERROR(SUM(INDEX(Arthur_LeGrand!$A$2:$ZS$200,0,ROW()-3+5)),0))</f>
        <v/>
      </c>
      <c r="L17" s="17">
        <f>IF($I17="","",IFERROR(SUM(INDEX(Titan_Hawk!$A$2:$ZS$200,0,ROW()-3+5)),0))</f>
        <v/>
      </c>
      <c r="M17" s="124">
        <f>IF($I17="","",J17+K17+L17)</f>
        <v/>
      </c>
    </row>
    <row r="18">
      <c r="F18" s="7">
        <f t="array" ref="F18">INT(LARGE(INDEX(Titan_Hawk!$A$2:$ZS$200,0,$B$25)+ROW(Titan_Hawk!$A$2:$A$200)/1000000,ROW()-15))</f>
        <v/>
      </c>
      <c r="G18" s="11">
        <f t="array" ref="G18">IF(F18=0,"-",IFERROR(INDEX(Titan_Hawk!$B$2:$B$200,MATCH(LARGE(INDEX(Titan_Hawk!$A$2:$ZS$200,0,$B$25)+ROW(Titan_Hawk!$A$2:$A$200)/1000000,ROW()-15),INDEX(Titan_Hawk!$A$2:$ZS$200,0,$B$25)+ROW(Titan_Hawk!$A$2:$A$200)/1000000,0)),""))</f>
        <v/>
      </c>
      <c r="I18" s="16">
        <f t="array" ref="I18">IF(ROW()-3+5&gt;$B$23,"",INDEX(Kim_Kay!$1:$1,1,ROW()-3+5))</f>
        <v/>
      </c>
      <c r="J18" s="17">
        <f>IF($I18="","",IFERROR(SUM(INDEX(Kim_Kay!$A$2:$ZL$199,0,ROW()-3+5)),0))</f>
        <v/>
      </c>
      <c r="K18" s="17">
        <f>IF($I18="","",IFERROR(SUM(INDEX(Arthur_LeGrand!$A$2:$ZS$200,0,ROW()-3+5)),0))</f>
        <v/>
      </c>
      <c r="L18" s="17">
        <f>IF($I18="","",IFERROR(SUM(INDEX(Titan_Hawk!$A$2:$ZS$200,0,ROW()-3+5)),0))</f>
        <v/>
      </c>
      <c r="M18" s="124">
        <f>IF($I18="","",J18+K18+L18)</f>
        <v/>
      </c>
    </row>
    <row r="19">
      <c r="F19" s="7">
        <f t="array" ref="F19">INT(LARGE(INDEX(Titan_Hawk!$A$2:$ZS$200,0,$B$25)+ROW(Titan_Hawk!$A$2:$A$200)/1000000,ROW()-15))</f>
        <v/>
      </c>
      <c r="G19" s="11">
        <f t="array" ref="G19">IF(F19=0,"-",IFERROR(INDEX(Titan_Hawk!$B$2:$B$200,MATCH(LARGE(INDEX(Titan_Hawk!$A$2:$ZS$200,0,$B$25)+ROW(Titan_Hawk!$A$2:$A$200)/1000000,ROW()-15),INDEX(Titan_Hawk!$A$2:$ZS$200,0,$B$25)+ROW(Titan_Hawk!$A$2:$A$200)/1000000,0)),""))</f>
        <v/>
      </c>
      <c r="I19" s="16">
        <f t="array" ref="I19">IF(ROW()-3+5&gt;$B$23,"",INDEX(Kim_Kay!$1:$1,1,ROW()-3+5))</f>
        <v/>
      </c>
      <c r="J19" s="17">
        <f>IF($I19="","",IFERROR(SUM(INDEX(Kim_Kay!$A$2:$ZL$199,0,ROW()-3+5)),0))</f>
        <v/>
      </c>
      <c r="K19" s="17">
        <f>IF($I19="","",IFERROR(SUM(INDEX(Arthur_LeGrand!$A$2:$ZS$200,0,ROW()-3+5)),0))</f>
        <v/>
      </c>
      <c r="L19" s="17">
        <f>IF($I19="","",IFERROR(SUM(INDEX(Titan_Hawk!$A$2:$ZS$200,0,ROW()-3+5)),0))</f>
        <v/>
      </c>
      <c r="M19" s="124">
        <f>IF($I19="","",J19+K19+L19)</f>
        <v/>
      </c>
    </row>
    <row r="20">
      <c r="F20" s="8">
        <f t="array" ref="F20">INT(LARGE(INDEX(Titan_Hawk!$A$2:$ZS$200,0,$B$25)+ROW(Titan_Hawk!$A$2:$A$200)/1000000,ROW()-15))</f>
        <v/>
      </c>
      <c r="G20" s="23">
        <f t="array" ref="G20">IF(F20=0,"-",IFERROR(INDEX(Titan_Hawk!$B$2:$B$200,MATCH(LARGE(INDEX(Titan_Hawk!$A$2:$ZS$200,0,$B$25)+ROW(Titan_Hawk!$A$2:$A$200)/1000000,ROW()-15),INDEX(Titan_Hawk!$A$2:$ZS$200,0,$B$25)+ROW(Titan_Hawk!$A$2:$A$200)/1000000,0)),""))</f>
        <v/>
      </c>
      <c r="I20" s="16">
        <f t="array" ref="I20">IF(ROW()-3+5&gt;$B$23,"",INDEX(Kim_Kay!$1:$1,1,ROW()-3+5))</f>
        <v/>
      </c>
      <c r="J20" s="17">
        <f>IF($I20="","",IFERROR(SUM(INDEX(Kim_Kay!$A$2:$ZL$199,0,ROW()-3+5)),0))</f>
        <v/>
      </c>
      <c r="K20" s="17">
        <f>IF($I20="","",IFERROR(SUM(INDEX(Arthur_LeGrand!$A$2:$ZS$200,0,ROW()-3+5)),0))</f>
        <v/>
      </c>
      <c r="L20" s="17">
        <f>IF($I20="","",IFERROR(SUM(INDEX(Titan_Hawk!$A$2:$ZS$200,0,ROW()-3+5)),0))</f>
        <v/>
      </c>
      <c r="M20" s="124">
        <f>IF($I20="","",J20+K20+L20)</f>
        <v/>
      </c>
    </row>
    <row r="21">
      <c r="I21" s="16">
        <f t="array" ref="I21">IF(ROW()-3+5&gt;$B$23,"",INDEX(Kim_Kay!$1:$1,1,ROW()-3+5))</f>
        <v/>
      </c>
      <c r="J21" s="17">
        <f>IF($I21="","",IFERROR(SUM(INDEX(Kim_Kay!$A$2:$ZL$199,0,ROW()-3+5)),0))</f>
        <v/>
      </c>
      <c r="K21" s="17">
        <f>IF($I21="","",IFERROR(SUM(INDEX(Arthur_LeGrand!$A$2:$ZS$200,0,ROW()-3+5)),0))</f>
        <v/>
      </c>
      <c r="L21" s="17">
        <f>IF($I21="","",IFERROR(SUM(INDEX(Titan_Hawk!$A$2:$ZS$200,0,ROW()-3+5)),0))</f>
        <v/>
      </c>
      <c r="M21" s="124">
        <f>IF($I21="","",J21+K21+L21)</f>
        <v/>
      </c>
    </row>
    <row r="22">
      <c r="I22" s="16">
        <f t="array" ref="I22">IF(ROW()-3+5&gt;$B$23,"",INDEX(Kim_Kay!$1:$1,1,ROW()-3+5))</f>
        <v/>
      </c>
      <c r="J22" s="17">
        <f>IF($I22="","",IFERROR(SUM(INDEX(Kim_Kay!$A$2:$ZL$199,0,ROW()-3+5)),0))</f>
        <v/>
      </c>
      <c r="K22" s="17">
        <f>IF($I22="","",IFERROR(SUM(INDEX(Arthur_LeGrand!$A$2:$ZS$200,0,ROW()-3+5)),0))</f>
        <v/>
      </c>
      <c r="L22" s="17">
        <f>IF($I22="","",IFERROR(SUM(INDEX(Titan_Hawk!$A$2:$ZS$200,0,ROW()-3+5)),0))</f>
        <v/>
      </c>
      <c r="M22" s="124">
        <f>IF($I22="","",J22+K22+L22)</f>
        <v/>
      </c>
    </row>
    <row r="23">
      <c r="B23" s="12">
        <f t="array" ref="B23">LOOKUP(2,1/(Kim_Kay!1:1&lt;&gt;""),COLUMN(Kim_Kay!1:1))</f>
        <v/>
      </c>
      <c r="I23" s="16">
        <f t="array" ref="I23">IF(ROW()-3+5&gt;$B$23,"",INDEX(Kim_Kay!$1:$1,1,ROW()-3+5))</f>
        <v/>
      </c>
      <c r="J23" s="17">
        <f>IF($I23="","",IFERROR(SUM(INDEX(Kim_Kay!$A$2:$ZL$199,0,ROW()-3+5)),0))</f>
        <v/>
      </c>
      <c r="K23" s="17">
        <f>IF($I23="","",IFERROR(SUM(INDEX(Arthur_LeGrand!$A$2:$ZS$200,0,ROW()-3+5)),0))</f>
        <v/>
      </c>
      <c r="L23" s="17">
        <f>IF($I23="","",IFERROR(SUM(INDEX(Titan_Hawk!$A$2:$ZS$200,0,ROW()-3+5)),0))</f>
        <v/>
      </c>
      <c r="M23" s="124">
        <f>IF($I23="","",J23+K23+L23)</f>
        <v/>
      </c>
    </row>
    <row r="24">
      <c r="B24" s="12">
        <f t="array" ref="B24">LOOKUP(2,1/(Arthur_LeGrand!1:1&lt;&gt;""),COLUMN(Arthur_LeGrand!1:1))</f>
        <v/>
      </c>
      <c r="I24" s="16">
        <f t="array" ref="I24">IF(ROW()-3+5&gt;$B$23,"",INDEX(Kim_Kay!$1:$1,1,ROW()-3+5))</f>
        <v/>
      </c>
      <c r="J24" s="17">
        <f>IF($I24="","",IFERROR(SUM(INDEX(Kim_Kay!$A$2:$ZL$199,0,ROW()-3+5)),0))</f>
        <v/>
      </c>
      <c r="K24" s="17">
        <f>IF($I24="","",IFERROR(SUM(INDEX(Arthur_LeGrand!$A$2:$ZS$200,0,ROW()-3+5)),0))</f>
        <v/>
      </c>
      <c r="L24" s="17">
        <f>IF($I24="","",IFERROR(SUM(INDEX(Titan_Hawk!$A$2:$ZS$200,0,ROW()-3+5)),0))</f>
        <v/>
      </c>
      <c r="M24" s="124">
        <f>IF($I24="","",J24+K24+L24)</f>
        <v/>
      </c>
    </row>
    <row r="25">
      <c r="B25" s="12">
        <f t="array" ref="B25">LOOKUP(2,1/(Titan_Hawk!1:1&lt;&gt;""),COLUMN(Titan_Hawk!1:1))</f>
        <v/>
      </c>
      <c r="I25" s="16">
        <f t="array" ref="I25">IF(ROW()-3+5&gt;$B$23,"",INDEX(Kim_Kay!$1:$1,1,ROW()-3+5))</f>
        <v/>
      </c>
      <c r="J25" s="17">
        <f>IF($I25="","",IFERROR(SUM(INDEX(Kim_Kay!$A$2:$ZL$199,0,ROW()-3+5)),0))</f>
        <v/>
      </c>
      <c r="K25" s="17">
        <f>IF($I25="","",IFERROR(SUM(INDEX(Arthur_LeGrand!$A$2:$ZS$200,0,ROW()-3+5)),0))</f>
        <v/>
      </c>
      <c r="L25" s="17">
        <f>IF($I25="","",IFERROR(SUM(INDEX(Titan_Hawk!$A$2:$ZS$200,0,ROW()-3+5)),0))</f>
        <v/>
      </c>
      <c r="M25" s="18">
        <f>IF($I25="","",J25+K25+L25)</f>
        <v/>
      </c>
    </row>
    <row r="26">
      <c r="I26" s="16">
        <f t="array" ref="I26">IF(ROW()-3+5&gt;$B$23,"",INDEX(Kim_Kay!$1:$1,1,ROW()-3+5))</f>
        <v/>
      </c>
      <c r="J26" s="17">
        <f>IF($I26="","",IFERROR(SUM(INDEX(Kim_Kay!$A$2:$ZL$199,0,ROW()-3+5)),0))</f>
        <v/>
      </c>
      <c r="K26" s="17">
        <f>IF($I26="","",IFERROR(SUM(INDEX(Arthur_LeGrand!$A$2:$ZS$200,0,ROW()-3+5)),0))</f>
        <v/>
      </c>
      <c r="L26" s="17">
        <f>IF($I26="","",IFERROR(SUM(INDEX(Titan_Hawk!$A$2:$ZS$200,0,ROW()-3+5)),0))</f>
        <v/>
      </c>
      <c r="M26" s="18">
        <f>IF($I26="","",J26+K26+L26)</f>
        <v/>
      </c>
    </row>
    <row r="27">
      <c r="I27" s="16">
        <f t="array" ref="I27">IF(ROW()-3+5&gt;$B$23,"",INDEX(Kim_Kay!$1:$1,1,ROW()-3+5))</f>
        <v/>
      </c>
      <c r="J27" s="17">
        <f>IF($I27="","",IFERROR(SUM(INDEX(Kim_Kay!$A$2:$ZL$199,0,ROW()-3+5)),0))</f>
        <v/>
      </c>
      <c r="K27" s="17">
        <f>IF($I27="","",IFERROR(SUM(INDEX(Arthur_LeGrand!$A$2:$ZS$200,0,ROW()-3+5)),0))</f>
        <v/>
      </c>
      <c r="L27" s="17">
        <f>IF($I27="","",IFERROR(SUM(INDEX(Titan_Hawk!$A$2:$ZS$200,0,ROW()-3+5)),0))</f>
        <v/>
      </c>
      <c r="M27" s="18">
        <f>IF($I27="","",J27+K27+L27)</f>
        <v/>
      </c>
    </row>
    <row r="28">
      <c r="I28" s="16">
        <f t="array" ref="I28">IF(ROW()-3+5&gt;$B$23,"",INDEX(Kim_Kay!$1:$1,1,ROW()-3+5))</f>
        <v/>
      </c>
      <c r="J28" s="17">
        <f>IF($I28="","",IFERROR(SUM(INDEX(Kim_Kay!$A$2:$ZL$199,0,ROW()-3+5)),0))</f>
        <v/>
      </c>
      <c r="K28" s="17">
        <f>IF($I28="","",IFERROR(SUM(INDEX(Arthur_LeGrand!$A$2:$ZS$200,0,ROW()-3+5)),0))</f>
        <v/>
      </c>
      <c r="L28" s="17">
        <f>IF($I28="","",IFERROR(SUM(INDEX(Titan_Hawk!$A$2:$ZS$200,0,ROW()-3+5)),0))</f>
        <v/>
      </c>
      <c r="M28" s="18">
        <f>IF($I28="","",J28+K28+L28)</f>
        <v/>
      </c>
    </row>
    <row r="29">
      <c r="I29" s="16">
        <f t="array" ref="I29">IF(ROW()-3+5&gt;$B$23,"",INDEX(Kim_Kay!$1:$1,1,ROW()-3+5))</f>
        <v/>
      </c>
      <c r="J29" s="17">
        <f>IF($I29="","",IFERROR(SUM(INDEX(Kim_Kay!$A$2:$ZL$199,0,ROW()-3+5)),0))</f>
        <v/>
      </c>
      <c r="K29" s="17">
        <f>IF($I29="","",IFERROR(SUM(INDEX(Arthur_LeGrand!$A$2:$ZS$200,0,ROW()-3+5)),0))</f>
        <v/>
      </c>
      <c r="L29" s="17">
        <f>IF($I29="","",IFERROR(SUM(INDEX(Titan_Hawk!$A$2:$ZS$200,0,ROW()-3+5)),0))</f>
        <v/>
      </c>
      <c r="M29" s="18">
        <f>IF($I29="","",J29+K29+L29)</f>
        <v/>
      </c>
    </row>
    <row r="30">
      <c r="I30" s="16">
        <f t="array" ref="I30">IF(ROW()-3+5&gt;$B$23,"",INDEX(Kim_Kay!$1:$1,1,ROW()-3+5))</f>
        <v/>
      </c>
      <c r="J30" s="17">
        <f>IF($I30="","",IFERROR(SUM(INDEX(Kim_Kay!$A$2:$ZL$199,0,ROW()-3+5)),0))</f>
        <v/>
      </c>
      <c r="K30" s="17">
        <f>IF($I30="","",IFERROR(SUM(INDEX(Arthur_LeGrand!$A$2:$ZS$200,0,ROW()-3+5)),0))</f>
        <v/>
      </c>
      <c r="L30" s="17">
        <f>IF($I30="","",IFERROR(SUM(INDEX(Titan_Hawk!$A$2:$ZS$200,0,ROW()-3+5)),0))</f>
        <v/>
      </c>
      <c r="M30" s="18">
        <f>IF($I30="","",J30+K30+L30)</f>
        <v/>
      </c>
    </row>
    <row r="31">
      <c r="I31" s="16">
        <f t="array" ref="I31">IF(ROW()-3+5&gt;$B$23,"",INDEX(Kim_Kay!$1:$1,1,ROW()-3+5))</f>
        <v/>
      </c>
      <c r="J31" s="17">
        <f>IF($I31="","",IFERROR(SUM(INDEX(Kim_Kay!$A$2:$ZL$199,0,ROW()-3+5)),0))</f>
        <v/>
      </c>
      <c r="K31" s="17">
        <f>IF($I31="","",IFERROR(SUM(INDEX(Arthur_LeGrand!$A$2:$ZS$200,0,ROW()-3+5)),0))</f>
        <v/>
      </c>
      <c r="L31" s="17">
        <f>IF($I31="","",IFERROR(SUM(INDEX(Titan_Hawk!$A$2:$ZS$200,0,ROW()-3+5)),0))</f>
        <v/>
      </c>
      <c r="M31" s="18">
        <f>IF($I31="","",J31+K31+L31)</f>
        <v/>
      </c>
    </row>
    <row r="32">
      <c r="I32" s="16">
        <f t="array" ref="I32">IF(ROW()-3+5&gt;$B$23,"",INDEX(Kim_Kay!$1:$1,1,ROW()-3+5))</f>
        <v/>
      </c>
      <c r="J32" s="17">
        <f>IF($I32="","",IFERROR(SUM(INDEX(Kim_Kay!$A$2:$ZL$199,0,ROW()-3+5)),0))</f>
        <v/>
      </c>
      <c r="K32" s="17">
        <f>IF($I32="","",IFERROR(SUM(INDEX(Arthur_LeGrand!$A$2:$ZS$200,0,ROW()-3+5)),0))</f>
        <v/>
      </c>
      <c r="L32" s="17">
        <f>IF($I32="","",IFERROR(SUM(INDEX(Titan_Hawk!$A$2:$ZS$200,0,ROW()-3+5)),0))</f>
        <v/>
      </c>
      <c r="M32" s="18">
        <f>IF($I32="","",J32+K32+L32)</f>
        <v/>
      </c>
    </row>
    <row r="33">
      <c r="I33" s="16">
        <f t="array" ref="I33">IF(ROW()-3+5&gt;$B$23,"",INDEX(Kim_Kay!$1:$1,1,ROW()-3+5))</f>
        <v/>
      </c>
      <c r="J33" s="17">
        <f>IF($I33="","",IFERROR(SUM(INDEX(Kim_Kay!$A$2:$ZL$199,0,ROW()-3+5)),0))</f>
        <v/>
      </c>
      <c r="K33" s="17">
        <f>IF($I33="","",IFERROR(SUM(INDEX(Arthur_LeGrand!$A$2:$ZS$200,0,ROW()-3+5)),0))</f>
        <v/>
      </c>
      <c r="L33" s="17">
        <f>IF($I33="","",IFERROR(SUM(INDEX(Titan_Hawk!$A$2:$ZS$200,0,ROW()-3+5)),0))</f>
        <v/>
      </c>
      <c r="M33" s="18">
        <f>IF($I33="","",J33+K33+L33)</f>
        <v/>
      </c>
    </row>
    <row r="34">
      <c r="I34" s="16">
        <f t="array" ref="I34">IF(ROW()-3+5&gt;$B$23,"",INDEX(Kim_Kay!$1:$1,1,ROW()-3+5))</f>
        <v/>
      </c>
      <c r="J34" s="17">
        <f>IF($I34="","",IFERROR(SUM(INDEX(Kim_Kay!$A$2:$ZL$199,0,ROW()-3+5)),0))</f>
        <v/>
      </c>
      <c r="K34" s="17">
        <f>IF($I34="","",IFERROR(SUM(INDEX(Arthur_LeGrand!$A$2:$ZS$200,0,ROW()-3+5)),0))</f>
        <v/>
      </c>
      <c r="L34" s="17">
        <f>IF($I34="","",IFERROR(SUM(INDEX(Titan_Hawk!$A$2:$ZS$200,0,ROW()-3+5)),0))</f>
        <v/>
      </c>
      <c r="M34" s="18">
        <f>IF($I34="","",J34+K34+L34)</f>
        <v/>
      </c>
    </row>
    <row r="35">
      <c r="I35" s="16">
        <f t="array" ref="I35">IF(ROW()-3+5&gt;$B$23,"",INDEX(Kim_Kay!$1:$1,1,ROW()-3+5))</f>
        <v/>
      </c>
      <c r="J35" s="17">
        <f>IF($I35="","",IFERROR(SUM(INDEX(Kim_Kay!$A$2:$ZL$199,0,ROW()-3+5)),0))</f>
        <v/>
      </c>
      <c r="K35" s="17">
        <f>IF($I35="","",IFERROR(SUM(INDEX(Arthur_LeGrand!$A$2:$ZS$200,0,ROW()-3+5)),0))</f>
        <v/>
      </c>
      <c r="L35" s="17">
        <f>IF($I35="","",IFERROR(SUM(INDEX(Titan_Hawk!$A$2:$ZS$200,0,ROW()-3+5)),0))</f>
        <v/>
      </c>
      <c r="M35" s="18">
        <f>IF($I35="","",J35+K35+L35)</f>
        <v/>
      </c>
    </row>
    <row r="36">
      <c r="I36" s="16">
        <f t="array" ref="I36">IF(ROW()-3+5&gt;$B$23,"",INDEX(Kim_Kay!$1:$1,1,ROW()-3+5))</f>
        <v/>
      </c>
      <c r="J36" s="17">
        <f>IF($I36="","",IFERROR(SUM(INDEX(Kim_Kay!$A$2:$ZL$199,0,ROW()-3+5)),0))</f>
        <v/>
      </c>
      <c r="K36" s="17">
        <f>IF($I36="","",IFERROR(SUM(INDEX(Arthur_LeGrand!$A$2:$ZS$200,0,ROW()-3+5)),0))</f>
        <v/>
      </c>
      <c r="L36" s="17">
        <f>IF($I36="","",IFERROR(SUM(INDEX(Titan_Hawk!$A$2:$ZS$200,0,ROW()-3+5)),0))</f>
        <v/>
      </c>
      <c r="M36" s="18">
        <f>IF($I36="","",J36+K36+L36)</f>
        <v/>
      </c>
    </row>
    <row r="37">
      <c r="I37" s="16">
        <f t="array" ref="I37">IF(ROW()-3+5&gt;$B$23,"",INDEX(Kim_Kay!$1:$1,1,ROW()-3+5))</f>
        <v/>
      </c>
      <c r="J37" s="17">
        <f>IF($I37="","",IFERROR(SUM(INDEX(Kim_Kay!$A$2:$ZL$199,0,ROW()-3+5)),0))</f>
        <v/>
      </c>
      <c r="K37" s="17">
        <f>IF($I37="","",IFERROR(SUM(INDEX(Arthur_LeGrand!$A$2:$ZS$200,0,ROW()-3+5)),0))</f>
        <v/>
      </c>
      <c r="L37" s="17">
        <f>IF($I37="","",IFERROR(SUM(INDEX(Titan_Hawk!$A$2:$ZS$200,0,ROW()-3+5)),0))</f>
        <v/>
      </c>
      <c r="M37" s="18">
        <f>IF($I37="","",J37+K37+L37)</f>
        <v/>
      </c>
    </row>
    <row r="38">
      <c r="I38" s="16">
        <f t="array" ref="I38">IF(ROW()-3+5&gt;$B$23,"",INDEX(Kim_Kay!$1:$1,1,ROW()-3+5))</f>
        <v/>
      </c>
      <c r="J38" s="17">
        <f>IF($I38="","",IFERROR(SUM(INDEX(Kim_Kay!$A$2:$ZL$199,0,ROW()-3+5)),0))</f>
        <v/>
      </c>
      <c r="K38" s="17">
        <f>IF($I38="","",IFERROR(SUM(INDEX(Arthur_LeGrand!$A$2:$ZS$200,0,ROW()-3+5)),0))</f>
        <v/>
      </c>
      <c r="L38" s="17">
        <f>IF($I38="","",IFERROR(SUM(INDEX(Titan_Hawk!$A$2:$ZS$200,0,ROW()-3+5)),0))</f>
        <v/>
      </c>
      <c r="M38" s="18">
        <f>IF($I38="","",J38+K38+L38)</f>
        <v/>
      </c>
    </row>
    <row r="39">
      <c r="I39" s="16">
        <f t="array" ref="I39">IF(ROW()-3+5&gt;$B$23,"",INDEX(Kim_Kay!$1:$1,1,ROW()-3+5))</f>
        <v/>
      </c>
      <c r="J39" s="17">
        <f>IF($I39="","",IFERROR(SUM(INDEX(Kim_Kay!$A$2:$ZL$199,0,ROW()-3+5)),0))</f>
        <v/>
      </c>
      <c r="K39" s="17">
        <f>IF($I39="","",IFERROR(SUM(INDEX(Arthur_LeGrand!$A$2:$ZS$200,0,ROW()-3+5)),0))</f>
        <v/>
      </c>
      <c r="L39" s="17">
        <f>IF($I39="","",IFERROR(SUM(INDEX(Titan_Hawk!$A$2:$ZS$200,0,ROW()-3+5)),0))</f>
        <v/>
      </c>
      <c r="M39" s="18">
        <f>IF($I39="","",J39+K39+L39)</f>
        <v/>
      </c>
    </row>
    <row r="40">
      <c r="I40" s="16">
        <f t="array" ref="I40">IF(ROW()-3+5&gt;$B$23,"",INDEX(Kim_Kay!$1:$1,1,ROW()-3+5))</f>
        <v/>
      </c>
      <c r="J40" s="17">
        <f>IF($I40="","",IFERROR(SUM(INDEX(Kim_Kay!$A$2:$ZL$199,0,ROW()-3+5)),0))</f>
        <v/>
      </c>
      <c r="K40" s="17">
        <f>IF($I40="","",IFERROR(SUM(INDEX(Arthur_LeGrand!$A$2:$ZS$200,0,ROW()-3+5)),0))</f>
        <v/>
      </c>
      <c r="L40" s="17">
        <f>IF($I40="","",IFERROR(SUM(INDEX(Titan_Hawk!$A$2:$ZS$200,0,ROW()-3+5)),0))</f>
        <v/>
      </c>
      <c r="M40" s="18">
        <f>IF($I40="","",J40+K40+L40)</f>
        <v/>
      </c>
    </row>
    <row r="41">
      <c r="I41" s="16">
        <f t="array" ref="I41">IF(ROW()-3+5&gt;$B$23,"",INDEX(Kim_Kay!$1:$1,1,ROW()-3+5))</f>
        <v/>
      </c>
      <c r="J41" s="17">
        <f>IF($I41="","",IFERROR(SUM(INDEX(Kim_Kay!$A$2:$ZL$199,0,ROW()-3+5)),0))</f>
        <v/>
      </c>
      <c r="K41" s="17">
        <f>IF($I41="","",IFERROR(SUM(INDEX(Arthur_LeGrand!$A$2:$ZS$200,0,ROW()-3+5)),0))</f>
        <v/>
      </c>
      <c r="L41" s="17">
        <f>IF($I41="","",IFERROR(SUM(INDEX(Titan_Hawk!$A$2:$ZS$200,0,ROW()-3+5)),0))</f>
        <v/>
      </c>
      <c r="M41" s="18">
        <f>IF($I41="","",J41+K41+L41)</f>
        <v/>
      </c>
    </row>
    <row r="42">
      <c r="I42" s="16">
        <f t="array" ref="I42">IF(ROW()-3+5&gt;$B$23,"",INDEX(Kim_Kay!$1:$1,1,ROW()-3+5))</f>
        <v/>
      </c>
      <c r="J42" s="17">
        <f>IF($I42="","",IFERROR(SUM(INDEX(Kim_Kay!$A$2:$ZL$199,0,ROW()-3+5)),0))</f>
        <v/>
      </c>
      <c r="K42" s="17">
        <f>IF($I42="","",IFERROR(SUM(INDEX(Arthur_LeGrand!$A$2:$ZS$200,0,ROW()-3+5)),0))</f>
        <v/>
      </c>
      <c r="L42" s="17">
        <f>IF($I42="","",IFERROR(SUM(INDEX(Titan_Hawk!$A$2:$ZS$200,0,ROW()-3+5)),0))</f>
        <v/>
      </c>
      <c r="M42" s="18">
        <f>IF($I42="","",J42+K42+L42)</f>
        <v/>
      </c>
    </row>
    <row r="43">
      <c r="I43" s="16">
        <f t="array" ref="I43">IF(ROW()-3+5&gt;$B$23,"",INDEX(Kim_Kay!$1:$1,1,ROW()-3+5))</f>
        <v/>
      </c>
      <c r="J43" s="17">
        <f>IF($I43="","",IFERROR(SUM(INDEX(Kim_Kay!$A$2:$ZL$199,0,ROW()-3+5)),0))</f>
        <v/>
      </c>
      <c r="K43" s="17">
        <f>IF($I43="","",IFERROR(SUM(INDEX(Arthur_LeGrand!$A$2:$ZS$200,0,ROW()-3+5)),0))</f>
        <v/>
      </c>
      <c r="L43" s="17">
        <f>IF($I43="","",IFERROR(SUM(INDEX(Titan_Hawk!$A$2:$ZS$200,0,ROW()-3+5)),0))</f>
        <v/>
      </c>
      <c r="M43" s="18">
        <f>IF($I43="","",J43+K43+L43)</f>
        <v/>
      </c>
    </row>
    <row r="44">
      <c r="I44" s="16">
        <f t="array" ref="I44">IF(ROW()-3+5&gt;$B$23,"",INDEX(Kim_Kay!$1:$1,1,ROW()-3+5))</f>
        <v/>
      </c>
      <c r="J44" s="17">
        <f>IF($I44="","",IFERROR(SUM(INDEX(Kim_Kay!$A$2:$ZL$199,0,ROW()-3+5)),0))</f>
        <v/>
      </c>
      <c r="K44" s="17">
        <f>IF($I44="","",IFERROR(SUM(INDEX(Arthur_LeGrand!$A$2:$ZS$200,0,ROW()-3+5)),0))</f>
        <v/>
      </c>
      <c r="L44" s="17">
        <f>IF($I44="","",IFERROR(SUM(INDEX(Titan_Hawk!$A$2:$ZS$200,0,ROW()-3+5)),0))</f>
        <v/>
      </c>
      <c r="M44" s="18">
        <f>IF($I44="","",J44+K44+L44)</f>
        <v/>
      </c>
    </row>
    <row r="45">
      <c r="I45" s="16">
        <f t="array" ref="I45">IF(ROW()-3+5&gt;$B$23,"",INDEX(Kim_Kay!$1:$1,1,ROW()-3+5))</f>
        <v/>
      </c>
      <c r="J45" s="17">
        <f>IF($I45="","",IFERROR(SUM(INDEX(Kim_Kay!$A$2:$ZL$199,0,ROW()-3+5)),0))</f>
        <v/>
      </c>
      <c r="K45" s="17">
        <f>IF($I45="","",IFERROR(SUM(INDEX(Arthur_LeGrand!$A$2:$ZS$200,0,ROW()-3+5)),0))</f>
        <v/>
      </c>
      <c r="L45" s="17">
        <f>IF($I45="","",IFERROR(SUM(INDEX(Titan_Hawk!$A$2:$ZS$200,0,ROW()-3+5)),0))</f>
        <v/>
      </c>
      <c r="M45" s="18">
        <f>IF($I45="","",J45+K45+L45)</f>
        <v/>
      </c>
    </row>
    <row r="46">
      <c r="I46" s="16">
        <f t="array" ref="I46">IF(ROW()-3+5&gt;$B$23,"",INDEX(Kim_Kay!$1:$1,1,ROW()-3+5))</f>
        <v/>
      </c>
      <c r="J46" s="17">
        <f>IF($I46="","",IFERROR(SUM(INDEX(Kim_Kay!$A$2:$ZL$199,0,ROW()-3+5)),0))</f>
        <v/>
      </c>
      <c r="K46" s="17">
        <f>IF($I46="","",IFERROR(SUM(INDEX(Arthur_LeGrand!$A$2:$ZS$200,0,ROW()-3+5)),0))</f>
        <v/>
      </c>
      <c r="L46" s="17">
        <f>IF($I46="","",IFERROR(SUM(INDEX(Titan_Hawk!$A$2:$ZS$200,0,ROW()-3+5)),0))</f>
        <v/>
      </c>
      <c r="M46" s="18">
        <f>IF($I46="","",J46+K46+L46)</f>
        <v/>
      </c>
    </row>
    <row r="47">
      <c r="I47" s="16">
        <f t="array" ref="I47">IF(ROW()-3+5&gt;$B$23,"",INDEX(Kim_Kay!$1:$1,1,ROW()-3+5))</f>
        <v/>
      </c>
      <c r="J47" s="17">
        <f>IF($I47="","",IFERROR(SUM(INDEX(Kim_Kay!$A$2:$ZL$199,0,ROW()-3+5)),0))</f>
        <v/>
      </c>
      <c r="K47" s="17">
        <f>IF($I47="","",IFERROR(SUM(INDEX(Arthur_LeGrand!$A$2:$ZS$200,0,ROW()-3+5)),0))</f>
        <v/>
      </c>
      <c r="L47" s="17">
        <f>IF($I47="","",IFERROR(SUM(INDEX(Titan_Hawk!$A$2:$ZS$200,0,ROW()-3+5)),0))</f>
        <v/>
      </c>
      <c r="M47" s="18">
        <f>IF($I47="","",J47+K47+L47)</f>
        <v/>
      </c>
    </row>
    <row r="48">
      <c r="I48" s="16">
        <f t="array" ref="I48">IF(ROW()-3+5&gt;$B$23,"",INDEX(Kim_Kay!$1:$1,1,ROW()-3+5))</f>
        <v/>
      </c>
      <c r="J48" s="17">
        <f>IF($I48="","",IFERROR(SUM(INDEX(Kim_Kay!$A$2:$ZL$199,0,ROW()-3+5)),0))</f>
        <v/>
      </c>
      <c r="K48" s="17">
        <f>IF($I48="","",IFERROR(SUM(INDEX(Arthur_LeGrand!$A$2:$ZS$200,0,ROW()-3+5)),0))</f>
        <v/>
      </c>
      <c r="L48" s="17">
        <f>IF($I48="","",IFERROR(SUM(INDEX(Titan_Hawk!$A$2:$ZS$200,0,ROW()-3+5)),0))</f>
        <v/>
      </c>
      <c r="M48" s="18">
        <f>IF($I48="","",J48+K48+L48)</f>
        <v/>
      </c>
    </row>
    <row r="49">
      <c r="I49" s="16">
        <f t="array" ref="I49">IF(ROW()-3+5&gt;$B$23,"",INDEX(Kim_Kay!$1:$1,1,ROW()-3+5))</f>
        <v/>
      </c>
      <c r="J49" s="17">
        <f>IF($I49="","",IFERROR(SUM(INDEX(Kim_Kay!$A$2:$ZL$199,0,ROW()-3+5)),0))</f>
        <v/>
      </c>
      <c r="K49" s="17">
        <f>IF($I49="","",IFERROR(SUM(INDEX(Arthur_LeGrand!$A$2:$ZS$200,0,ROW()-3+5)),0))</f>
        <v/>
      </c>
      <c r="L49" s="17">
        <f>IF($I49="","",IFERROR(SUM(INDEX(Titan_Hawk!$A$2:$ZS$200,0,ROW()-3+5)),0))</f>
        <v/>
      </c>
      <c r="M49" s="18">
        <f>IF($I49="","",J49+K49+L49)</f>
        <v/>
      </c>
    </row>
    <row r="50">
      <c r="I50" s="16">
        <f t="array" ref="I50">IF(ROW()-3+5&gt;$B$23,"",INDEX(Kim_Kay!$1:$1,1,ROW()-3+5))</f>
        <v/>
      </c>
      <c r="J50" s="17">
        <f>IF($I50="","",IFERROR(SUM(INDEX(Kim_Kay!$A$2:$ZL$199,0,ROW()-3+5)),0))</f>
        <v/>
      </c>
      <c r="K50" s="17">
        <f>IF($I50="","",IFERROR(SUM(INDEX(Arthur_LeGrand!$A$2:$ZS$200,0,ROW()-3+5)),0))</f>
        <v/>
      </c>
      <c r="L50" s="17">
        <f>IF($I50="","",IFERROR(SUM(INDEX(Titan_Hawk!$A$2:$ZS$200,0,ROW()-3+5)),0))</f>
        <v/>
      </c>
      <c r="M50" s="18">
        <f>IF($I50="","",J50+K50+L50)</f>
        <v/>
      </c>
    </row>
    <row r="51">
      <c r="I51" s="16">
        <f t="array" ref="I51">IF(ROW()-3+5&gt;$B$23,"",INDEX(Kim_Kay!$1:$1,1,ROW()-3+5))</f>
        <v/>
      </c>
      <c r="J51" s="17">
        <f>IF($I51="","",IFERROR(SUM(INDEX(Kim_Kay!$A$2:$ZL$199,0,ROW()-3+5)),0))</f>
        <v/>
      </c>
      <c r="K51" s="17">
        <f>IF($I51="","",IFERROR(SUM(INDEX(Arthur_LeGrand!$A$2:$ZS$200,0,ROW()-3+5)),0))</f>
        <v/>
      </c>
      <c r="L51" s="17">
        <f>IF($I51="","",IFERROR(SUM(INDEX(Titan_Hawk!$A$2:$ZS$200,0,ROW()-3+5)),0))</f>
        <v/>
      </c>
      <c r="M51" s="18">
        <f>IF($I51="","",J51+K51+L51)</f>
        <v/>
      </c>
    </row>
    <row r="52">
      <c r="I52" s="16">
        <f t="array" ref="I52">IF(ROW()-3+5&gt;$B$23,"",INDEX(Kim_Kay!$1:$1,1,ROW()-3+5))</f>
        <v/>
      </c>
      <c r="J52" s="17">
        <f>IF($I52="","",IFERROR(SUM(INDEX(Kim_Kay!$A$2:$ZL$199,0,ROW()-3+5)),0))</f>
        <v/>
      </c>
      <c r="K52" s="17">
        <f>IF($I52="","",IFERROR(SUM(INDEX(Arthur_LeGrand!$A$2:$ZS$200,0,ROW()-3+5)),0))</f>
        <v/>
      </c>
      <c r="L52" s="17">
        <f>IF($I52="","",IFERROR(SUM(INDEX(Titan_Hawk!$A$2:$ZS$200,0,ROW()-3+5)),0))</f>
        <v/>
      </c>
      <c r="M52" s="18">
        <f>IF($I52="","",J52+K52+L52)</f>
        <v/>
      </c>
    </row>
    <row r="53">
      <c r="I53" s="16">
        <f t="array" ref="I53">IF(ROW()-3+5&gt;$B$23,"",INDEX(Kim_Kay!$1:$1,1,ROW()-3+5))</f>
        <v/>
      </c>
      <c r="J53" s="17">
        <f>IF($I53="","",IFERROR(SUM(INDEX(Kim_Kay!$A$2:$ZL$199,0,ROW()-3+5)),0))</f>
        <v/>
      </c>
      <c r="K53" s="17">
        <f>IF($I53="","",IFERROR(SUM(INDEX(Arthur_LeGrand!$A$2:$ZS$200,0,ROW()-3+5)),0))</f>
        <v/>
      </c>
      <c r="L53" s="17">
        <f>IF($I53="","",IFERROR(SUM(INDEX(Titan_Hawk!$A$2:$ZS$200,0,ROW()-3+5)),0))</f>
        <v/>
      </c>
      <c r="M53" s="18">
        <f>IF($I53="","",J53+K53+L53)</f>
        <v/>
      </c>
    </row>
    <row r="54">
      <c r="I54" s="16">
        <f t="array" ref="I54">IF(ROW()-3+5&gt;$B$23,"",INDEX(Kim_Kay!$1:$1,1,ROW()-3+5))</f>
        <v/>
      </c>
      <c r="J54" s="17">
        <f>IF($I54="","",IFERROR(SUM(INDEX(Kim_Kay!$A$2:$ZL$199,0,ROW()-3+5)),0))</f>
        <v/>
      </c>
      <c r="K54" s="17">
        <f>IF($I54="","",IFERROR(SUM(INDEX(Arthur_LeGrand!$A$2:$ZS$200,0,ROW()-3+5)),0))</f>
        <v/>
      </c>
      <c r="L54" s="17">
        <f>IF($I54="","",IFERROR(SUM(INDEX(Titan_Hawk!$A$2:$ZS$200,0,ROW()-3+5)),0))</f>
        <v/>
      </c>
      <c r="M54" s="18">
        <f>IF($I54="","",J54+K54+L54)</f>
        <v/>
      </c>
    </row>
    <row r="55">
      <c r="I55" s="16">
        <f t="array" ref="I55">IF(ROW()-3+5&gt;$B$23,"",INDEX(Kim_Kay!$1:$1,1,ROW()-3+5))</f>
        <v/>
      </c>
      <c r="J55" s="17">
        <f>IF($I55="","",IFERROR(SUM(INDEX(Kim_Kay!$A$2:$ZL$199,0,ROW()-3+5)),0))</f>
        <v/>
      </c>
      <c r="K55" s="17">
        <f>IF($I55="","",IFERROR(SUM(INDEX(Arthur_LeGrand!$A$2:$ZS$200,0,ROW()-3+5)),0))</f>
        <v/>
      </c>
      <c r="L55" s="17">
        <f>IF($I55="","",IFERROR(SUM(INDEX(Titan_Hawk!$A$2:$ZS$200,0,ROW()-3+5)),0))</f>
        <v/>
      </c>
      <c r="M55" s="18">
        <f>IF($I55="","",J55+K55+L55)</f>
        <v/>
      </c>
    </row>
    <row r="56">
      <c r="I56" s="16">
        <f t="array" ref="I56">IF(ROW()-3+5&gt;$B$23,"",INDEX(Kim_Kay!$1:$1,1,ROW()-3+5))</f>
        <v/>
      </c>
      <c r="J56" s="17">
        <f>IF($I56="","",IFERROR(SUM(INDEX(Kim_Kay!$A$2:$ZL$199,0,ROW()-3+5)),0))</f>
        <v/>
      </c>
      <c r="K56" s="17">
        <f>IF($I56="","",IFERROR(SUM(INDEX(Arthur_LeGrand!$A$2:$ZS$200,0,ROW()-3+5)),0))</f>
        <v/>
      </c>
      <c r="L56" s="17">
        <f>IF($I56="","",IFERROR(SUM(INDEX(Titan_Hawk!$A$2:$ZS$200,0,ROW()-3+5)),0))</f>
        <v/>
      </c>
      <c r="M56" s="18">
        <f>IF($I56="","",J56+K56+L56)</f>
        <v/>
      </c>
    </row>
    <row r="57">
      <c r="I57" s="16">
        <f t="array" ref="I57">IF(ROW()-3+5&gt;$B$23,"",INDEX(Kim_Kay!$1:$1,1,ROW()-3+5))</f>
        <v/>
      </c>
      <c r="J57" s="17">
        <f>IF($I57="","",IFERROR(SUM(INDEX(Kim_Kay!$A$2:$ZL$199,0,ROW()-3+5)),0))</f>
        <v/>
      </c>
      <c r="K57" s="17">
        <f>IF($I57="","",IFERROR(SUM(INDEX(Arthur_LeGrand!$A$2:$ZS$200,0,ROW()-3+5)),0))</f>
        <v/>
      </c>
      <c r="L57" s="17">
        <f>IF($I57="","",IFERROR(SUM(INDEX(Titan_Hawk!$A$2:$ZS$200,0,ROW()-3+5)),0))</f>
        <v/>
      </c>
      <c r="M57" s="18">
        <f>IF($I57="","",J57+K57+L57)</f>
        <v/>
      </c>
    </row>
    <row r="58">
      <c r="I58" s="16">
        <f t="array" ref="I58">IF(ROW()-3+5&gt;$B$23,"",INDEX(Kim_Kay!$1:$1,1,ROW()-3+5))</f>
        <v/>
      </c>
      <c r="J58" s="17">
        <f>IF($I58="","",IFERROR(SUM(INDEX(Kim_Kay!$A$2:$ZL$199,0,ROW()-3+5)),0))</f>
        <v/>
      </c>
      <c r="K58" s="17">
        <f>IF($I58="","",IFERROR(SUM(INDEX(Arthur_LeGrand!$A$2:$ZS$200,0,ROW()-3+5)),0))</f>
        <v/>
      </c>
      <c r="L58" s="17">
        <f>IF($I58="","",IFERROR(SUM(INDEX(Titan_Hawk!$A$2:$ZS$200,0,ROW()-3+5)),0))</f>
        <v/>
      </c>
      <c r="M58" s="18">
        <f>IF($I58="","",J58+K58+L58)</f>
        <v/>
      </c>
    </row>
    <row r="59">
      <c r="I59" s="16">
        <f t="array" ref="I59">IF(ROW()-3+5&gt;$B$23,"",INDEX(Kim_Kay!$1:$1,1,ROW()-3+5))</f>
        <v/>
      </c>
      <c r="J59" s="17">
        <f>IF($I59="","",IFERROR(SUM(INDEX(Kim_Kay!$A$2:$ZL$199,0,ROW()-3+5)),0))</f>
        <v/>
      </c>
      <c r="K59" s="17">
        <f>IF($I59="","",IFERROR(SUM(INDEX(Arthur_LeGrand!$A$2:$ZS$200,0,ROW()-3+5)),0))</f>
        <v/>
      </c>
      <c r="L59" s="17">
        <f>IF($I59="","",IFERROR(SUM(INDEX(Titan_Hawk!$A$2:$ZS$200,0,ROW()-3+5)),0))</f>
        <v/>
      </c>
      <c r="M59" s="18">
        <f>IF($I59="","",J59+K59+L59)</f>
        <v/>
      </c>
    </row>
    <row r="60">
      <c r="I60" s="16">
        <f t="array" ref="I60">IF(ROW()-3+5&gt;$B$23,"",INDEX(Kim_Kay!$1:$1,1,ROW()-3+5))</f>
        <v/>
      </c>
      <c r="J60" s="17">
        <f>IF($I60="","",IFERROR(SUM(INDEX(Kim_Kay!$A$2:$ZL$199,0,ROW()-3+5)),0))</f>
        <v/>
      </c>
      <c r="K60" s="17">
        <f>IF($I60="","",IFERROR(SUM(INDEX(Arthur_LeGrand!$A$2:$ZS$200,0,ROW()-3+5)),0))</f>
        <v/>
      </c>
      <c r="L60" s="17">
        <f>IF($I60="","",IFERROR(SUM(INDEX(Titan_Hawk!$A$2:$ZS$200,0,ROW()-3+5)),0))</f>
        <v/>
      </c>
      <c r="M60" s="18">
        <f>IF($I60="","",J60+K60+L60)</f>
        <v/>
      </c>
    </row>
    <row r="61">
      <c r="I61" s="16">
        <f t="array" ref="I61">IF(ROW()-3+5&gt;$B$23,"",INDEX(Kim_Kay!$1:$1,1,ROW()-3+5))</f>
        <v/>
      </c>
      <c r="J61" s="17">
        <f>IF($I61="","",IFERROR(SUM(INDEX(Kim_Kay!$A$2:$ZL$199,0,ROW()-3+5)),0))</f>
        <v/>
      </c>
      <c r="K61" s="17">
        <f>IF($I61="","",IFERROR(SUM(INDEX(Arthur_LeGrand!$A$2:$ZS$200,0,ROW()-3+5)),0))</f>
        <v/>
      </c>
      <c r="L61" s="17">
        <f>IF($I61="","",IFERROR(SUM(INDEX(Titan_Hawk!$A$2:$ZS$200,0,ROW()-3+5)),0))</f>
        <v/>
      </c>
      <c r="M61" s="18">
        <f>IF($I61="","",J61+K61+L61)</f>
        <v/>
      </c>
    </row>
    <row r="62">
      <c r="I62" s="16">
        <f t="array" ref="I62">IF(ROW()-3+5&gt;$B$23,"",INDEX(Kim_Kay!$1:$1,1,ROW()-3+5))</f>
        <v/>
      </c>
      <c r="J62" s="17">
        <f>IF($I62="","",IFERROR(SUM(INDEX(Kim_Kay!$A$2:$ZL$199,0,ROW()-3+5)),0))</f>
        <v/>
      </c>
      <c r="K62" s="17">
        <f>IF($I62="","",IFERROR(SUM(INDEX(Arthur_LeGrand!$A$2:$ZS$200,0,ROW()-3+5)),0))</f>
        <v/>
      </c>
      <c r="L62" s="17">
        <f>IF($I62="","",IFERROR(SUM(INDEX(Titan_Hawk!$A$2:$ZS$200,0,ROW()-3+5)),0))</f>
        <v/>
      </c>
      <c r="M62" s="18">
        <f>IF($I62="","",J62+K62+L62)</f>
        <v/>
      </c>
    </row>
    <row r="63">
      <c r="I63" s="16">
        <f t="array" ref="I63">IF(ROW()-3+5&gt;$B$23,"",INDEX(Kim_Kay!$1:$1,1,ROW()-3+5))</f>
        <v/>
      </c>
      <c r="J63" s="17">
        <f>IF($I63="","",IFERROR(SUM(INDEX(Kim_Kay!$A$2:$ZL$199,0,ROW()-3+5)),0))</f>
        <v/>
      </c>
      <c r="K63" s="17">
        <f>IF($I63="","",IFERROR(SUM(INDEX(Arthur_LeGrand!$A$2:$ZS$200,0,ROW()-3+5)),0))</f>
        <v/>
      </c>
      <c r="L63" s="17">
        <f>IF($I63="","",IFERROR(SUM(INDEX(Titan_Hawk!$A$2:$ZS$200,0,ROW()-3+5)),0))</f>
        <v/>
      </c>
      <c r="M63" s="18">
        <f>IF($I63="","",J63+K63+L63)</f>
        <v/>
      </c>
    </row>
    <row r="64">
      <c r="I64" s="16">
        <f t="array" ref="I64">IF(ROW()-3+5&gt;$B$23,"",INDEX(Kim_Kay!$1:$1,1,ROW()-3+5))</f>
        <v/>
      </c>
      <c r="J64" s="17">
        <f>IF($I64="","",IFERROR(SUM(INDEX(Kim_Kay!$A$2:$ZL$199,0,ROW()-3+5)),0))</f>
        <v/>
      </c>
      <c r="K64" s="17">
        <f>IF($I64="","",IFERROR(SUM(INDEX(Arthur_LeGrand!$A$2:$ZS$200,0,ROW()-3+5)),0))</f>
        <v/>
      </c>
      <c r="L64" s="17">
        <f>IF($I64="","",IFERROR(SUM(INDEX(Titan_Hawk!$A$2:$ZS$200,0,ROW()-3+5)),0))</f>
        <v/>
      </c>
      <c r="M64" s="18">
        <f>IF($I64="","",J64+K64+L64)</f>
        <v/>
      </c>
    </row>
    <row r="65">
      <c r="I65" s="16">
        <f t="array" ref="I65">IF(ROW()-3+5&gt;$B$23,"",INDEX(Kim_Kay!$1:$1,1,ROW()-3+5))</f>
        <v/>
      </c>
      <c r="J65" s="17">
        <f>IF($I65="","",IFERROR(SUM(INDEX(Kim_Kay!$A$2:$ZL$199,0,ROW()-3+5)),0))</f>
        <v/>
      </c>
      <c r="K65" s="17">
        <f>IF($I65="","",IFERROR(SUM(INDEX(Arthur_LeGrand!$A$2:$ZS$200,0,ROW()-3+5)),0))</f>
        <v/>
      </c>
      <c r="L65" s="17">
        <f>IF($I65="","",IFERROR(SUM(INDEX(Titan_Hawk!$A$2:$ZS$200,0,ROW()-3+5)),0))</f>
        <v/>
      </c>
      <c r="M65" s="18">
        <f>IF($I65="","",J65+K65+L65)</f>
        <v/>
      </c>
    </row>
  </sheetData>
  <mergeCells count="4">
    <mergeCell ref="F3:G3"/>
    <mergeCell ref="F2:G2"/>
    <mergeCell ref="F9:G9"/>
    <mergeCell ref="F15:G1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GME</dc:creator>
  <dcterms:created xsi:type="dcterms:W3CDTF">2026-02-25T22:56:27Z</dcterms:created>
  <dcterms:modified xsi:type="dcterms:W3CDTF">2026-05-06T12:12:42Z</dcterms:modified>
  <cp:lastModifiedBy>GME</cp:lastModifiedBy>
</cp:coreProperties>
</file>